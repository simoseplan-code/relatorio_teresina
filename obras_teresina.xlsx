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580"/>
  </bookViews>
  <sheets>
    <sheet name="concluídas - SIMO" sheetId="1" r:id="rId1"/>
    <sheet name="Execução - SIMO" sheetId="2" r:id="rId2"/>
    <sheet name="Convênio" sheetId="3" r:id="rId3"/>
    <sheet name="TD - Concluído" sheetId="4" r:id="rId4"/>
    <sheet name="TD - Execução" sheetId="5" r:id="rId5"/>
  </sheets>
  <externalReferences>
    <externalReference r:id="rId6"/>
  </externalReferences>
  <definedNames>
    <definedName name="_xlnm._FilterDatabase" localSheetId="0" hidden="1">'concluídas - SIMO'!$A$1:$K$281</definedName>
    <definedName name="_xlnm._FilterDatabase" localSheetId="1" hidden="1">'Execução - SIMO'!$A$1:$L$61</definedName>
    <definedName name="_xlnm._FilterDatabase" localSheetId="2" hidden="1">Convênio!$A$1:$AK$17</definedName>
    <definedName name="_xlnm._FilterDatabase" localSheetId="3" hidden="1">'TD - Concluído'!$A$1:$H$774</definedName>
    <definedName name="_xlnm._FilterDatabase" localSheetId="4" hidden="1">'TD - Execução'!$A$1:$F$48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<sst xmlns="http://schemas.openxmlformats.org/spreadsheetml/2006/main" count="7296" uniqueCount="1466">
  <si>
    <t>ID SIMO</t>
  </si>
  <si>
    <t>Municipios</t>
  </si>
  <si>
    <t>UG</t>
  </si>
  <si>
    <t>Descricão</t>
  </si>
  <si>
    <t>Valor Contrato</t>
  </si>
  <si>
    <t>Valor Pago</t>
  </si>
  <si>
    <t>% Pago</t>
  </si>
  <si>
    <t>Execução%</t>
  </si>
  <si>
    <t>Data Recebimento</t>
  </si>
  <si>
    <t>Bairro</t>
  </si>
  <si>
    <t>Zona</t>
  </si>
  <si>
    <t>TERESINA</t>
  </si>
  <si>
    <t>SECID</t>
  </si>
  <si>
    <t>PAVIMENTAÇÃO EM PARALELEPÍPEDO NO MUNICÍPIO DE TERESINA. CONTRATO 118/2020</t>
  </si>
  <si>
    <t/>
  </si>
  <si>
    <t>TERESINA,PICOS,SÃO RAIMUNDO NONATO,UNIÃO,SÃO JOÃO DO PIAUÍ,PEDRO II,CRISTINO CASTRO,INHUMA</t>
  </si>
  <si>
    <t>SSP</t>
  </si>
  <si>
    <t>PRESTAÇÃO DE SERVIÇO DE ENGENHARIA PARA MANUTENÇÃO PREDIAL</t>
  </si>
  <si>
    <t>SETRANS</t>
  </si>
  <si>
    <t>PAVIMENTAÇÃO ASFÁLTICA EM TSD DA RODOVIA TER-225-(LAGOA DA MATA) ENTROC.: TER-331(CAJAÍBA/SIRI) NO MUNICIPIO DE TERESINA-PI CONTRATO 42/2022</t>
  </si>
  <si>
    <t>RURAL SUDESTE,  RURAL LESTE</t>
  </si>
  <si>
    <t>SEFIR</t>
  </si>
  <si>
    <t>EXECUÇÃO DE PAVIMENTAÇÃO DE 4.170,00M² EM PARALELEPÍPEDO NO MUNICIPIO DE TERESINA-PI</t>
  </si>
  <si>
    <t>ANGELIM</t>
  </si>
  <si>
    <t>SUL</t>
  </si>
  <si>
    <t>IDEPI</t>
  </si>
  <si>
    <t>PAVIMENTAÇÃO EM PARALELEPÍPEDO, COM ÁREA DE 10.632,00 M², NO MUNICÍPIO DE TERESINA - PI</t>
  </si>
  <si>
    <t>CACIMBA VELHA</t>
  </si>
  <si>
    <t>RURAL</t>
  </si>
  <si>
    <t>SEJUS</t>
  </si>
  <si>
    <t>REFORMA PAVILHÃO D E VISITA INTIMA - PENITENCIARIA JOSE RIBAMAR LEITE</t>
  </si>
  <si>
    <t>SANTO ANTÔNIO</t>
  </si>
  <si>
    <t>&lt;?xml version="1.0" encoding="UTF-8"?&gt;
&lt;kml xmlns="http://www.opengis.net/kml/2.2" xmlns:gx="http://www.google.com/kml/ext/2.2" xmlns:kml="http://www.opengis.net/kml/2.2" xmlns:atom="http://www.w3.org/2005/Atom"&gt;
&lt;Document id="document"&gt;
	&lt;name&gt;Mapa sem título&lt;/name&gt;
	&lt;gx:CascadingStyle kml:id="__managed_style_03E569BBF03F13BC7AA9_highlight"&gt;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kml:id="__managed_style_03E569BBF03F13BC7AA9_normal"&gt;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id="__managed_style_03E569BBF03F13BC7AA9"&gt;
		&lt;Pair&gt;
			&lt;key&gt;normal&lt;/key&gt;
			&lt;styleUrl&gt;#__managed_style_03E569BBF03F13BC7AA9_normal&lt;/styleUrl&gt;
		&lt;/Pair&gt;
		&lt;Pair&gt;
			&lt;key&gt;highlight&lt;/key&gt;
			&lt;styleUrl&gt;#__managed_style_03E569BBF03F13BC7AA9_highlight&lt;/styleUrl&gt;
		&lt;/Pair&gt;
	&lt;/StyleMap&gt;
	&lt;Placemark id="0AC0C9886C3F13BC7A91"&gt;
		&lt;gx:mid&gt;/g/11b_2pks23&lt;/gx:mid&gt;
		&lt;gx:fid&gt;0x78e3158c8a7bae1:0x14036527ac245077&lt;/gx:fid&gt;
		&lt;LookAt&gt;
			&lt;longitude&gt;-42.7719396&lt;/longitude&gt;
			&lt;latitude&gt;-5.1540369&lt;/latitude&gt;
			&lt;altitude&gt;0&lt;/altitude&gt;
			&lt;heading&gt;0&lt;/heading&gt;
			&lt;tilt&gt;0&lt;/tilt&gt;
			&lt;gx:fovy&gt;35&lt;/gx:fovy&gt;
			&lt;range&gt;1051.760451455372&lt;/range&gt;
			&lt;altitudeMode&gt;relativeToGround&lt;/altitudeMode&gt;
		&lt;/LookAt&gt;
		&lt;styleUrl&gt;#__managed_style_03E569BBF03F13BC7AA9&lt;/styleUrl&gt;
		&lt;Point&gt;
			&lt;altitudeMode&gt;relativeToGround&lt;/altitudeMode&gt;
			&lt;coordinates&gt;-42.7719396,-5.154036899999999,0&lt;/coordinates&gt;
		&lt;/Point&gt;
	&lt;/Placemark&gt;
&lt;/Document&gt;
&lt;/kml&gt;</t>
  </si>
  <si>
    <t>SEFAZ</t>
  </si>
  <si>
    <t>CONSTRUÇÃO DO ANEXO AO PRÉDIO SEDE DA SECRETARIA DA FAZENDA DO ESTADO DO PIAUÍ-SEFAZ-PI</t>
  </si>
  <si>
    <t>VERMELHA</t>
  </si>
  <si>
    <t>CENTRO</t>
  </si>
  <si>
    <t>&lt;?xml version="1.0" encoding="UTF-8"?&gt;
&lt;kml xmlns="http://www.opengis.net/kml/2.2" xmlns:gx="http://www.google.com/kml/ext/2.2" xmlns:kml="http://www.opengis.net/kml/2.2" xmlns:atom="http://www.w3.org/2005/Atom"&gt;
&lt;Document id="document"&gt;
	&lt;name&gt;Mapa sem título&lt;/name&gt;
	&lt;gx:CascadingStyle kml:id="__managed_style_054AF7C5163F13F219A0_highlight"&gt;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kml:id="__managed_style_054AF7C5163F13F219A0_normal"&gt;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id="__managed_style_054AF7C5163F13F219A0"&gt;
		&lt;Pair&gt;
			&lt;key&gt;normal&lt;/key&gt;
			&lt;styleUrl&gt;#__managed_style_054AF7C5163F13F219A0_normal&lt;/styleUrl&gt;
		&lt;/Pair&gt;
		&lt;Pair&gt;
			&lt;key&gt;highlight&lt;/key&gt;
			&lt;styleUrl&gt;#__managed_style_054AF7C5163F13F219A0_highlight&lt;/styleUrl&gt;
		&lt;/Pair&gt;
	&lt;/StyleMap&gt;
	&lt;Placemark id="06B3A70F2D3F13F21983"&gt;
		&lt;gx:mid&gt;/g/11b6b2fxtg&lt;/gx:mid&gt;
		&lt;gx:fid&gt;0x78e3741d1ba56e7:0x8df6508028234a2f&lt;/gx:fid&gt;
		&lt;LookAt&gt;
			&lt;longitude&gt;-42.81238459999999&lt;/longitude&gt;
			&lt;latitude&gt;-5.1107043&lt;/latitude&gt;
			&lt;altitude&gt;0&lt;/altitude&gt;
			&lt;heading&gt;0&lt;/heading&gt;
			&lt;tilt&gt;0&lt;/tilt&gt;
			&lt;gx:fovy&gt;35&lt;/gx:fovy&gt;
			&lt;range&gt;1051.840433636043&lt;/range&gt;
			&lt;altitudeMode&gt;relativeToGround&lt;/altitudeMode&gt;
		&lt;/LookAt&gt;
		&lt;styleUrl&gt;#__managed_style_054AF7C5163F13F219A0&lt;/styleUrl&gt;
		&lt;Point&gt;
			&lt;altitudeMode&gt;relativeToGround&lt;/altitudeMode&gt;
			&lt;coordinates&gt;-42.8123846,-5.1107043,0&lt;/coordinates&gt;
		&lt;/Point&gt;
	&lt;/Placemark&gt;
&lt;/Document&gt;
&lt;/kml&gt;</t>
  </si>
  <si>
    <t>DER</t>
  </si>
  <si>
    <t>RECUPERAÇÃO E MELHORAMENTO EM REVESTIMENTO PRIMÁRIO DOS ACESSOS À COMUNIDADE EL SHADAY.</t>
  </si>
  <si>
    <t>EL SHADAY</t>
  </si>
  <si>
    <t>SETUR</t>
  </si>
  <si>
    <t>EXECUÇÃO DE 7.982,08M² DE PAVIMENTAÇÃO EM PARALELEPIPEDO EM VIAS PUBLICAS DO MUNICIPIO DE TERESINA - PI</t>
  </si>
  <si>
    <t>ESPLANADA</t>
  </si>
  <si>
    <t>&lt;?xml version="1.0" encoding="UTF-8"?&gt;
&lt;kml xmlns="http://www.opengis.net/kml/2.2" xmlns:gx="http://www.google.com/kml/ext/2.2" xmlns:kml="http://www.opengis.net/kml/2.2" xmlns:atom="http://www.w3.org/2005/Atom"&gt;
&lt;Document id="document"&gt;
	&lt;name&gt;Mapa sem título&lt;/name&gt;
	&lt;gx:CascadingStyle kml:id="__managed_style_0AFB401BE83F141D1248_highlight"&gt;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kml:id="__managed_style_0AFB401BE83F141D1248_normal"&gt;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&lt;gx:CascadingStyle kml:id="__managed_style_0C8406C00D3F141D0984_highlight"&gt;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kml:id="__managed_style_0C8406C00D3F141D0984_normal"&gt;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id="__managed_style_0AFB401BE83F141D1248"&gt;
		&lt;Pair&gt;
			&lt;key&gt;normal&lt;/key&gt;
			&lt;styleUrl&gt;#__managed_style_0AFB401BE83F141D1248_normal&lt;/styleUrl&gt;
		&lt;/Pair&gt;
		&lt;Pair&gt;
			&lt;key&gt;highlight&lt;/key&gt;
			&lt;styleUrl&gt;#__managed_style_0AFB401BE83F141D1248_highlight&lt;/styleUrl&gt;
		&lt;/Pair&gt;
	&lt;/StyleMap&gt;
	&lt;StyleMap id="__managed_style_0C8406C00D3F141D0984"&gt;
		&lt;Pair&gt;
			&lt;key&gt;normal&lt;/key&gt;
			&lt;styleUrl&gt;#__managed_style_0C8406C00D3F141D0984_normal&lt;/styleUrl&gt;
		&lt;/Pair&gt;
		&lt;Pair&gt;
			&lt;key&gt;highlight&lt;/key&gt;
			&lt;styleUrl&gt;#__managed_style_0C8406C00D3F141D0984_highlight&lt;/styleUrl&gt;
		&lt;/Pair&gt;
	&lt;/StyleMap&gt;
	&lt;Placemark id="095C866B663F141D0949"&gt;
		&lt;name&gt;Caminho sem título&lt;/name&gt;
		&lt;LookAt&gt;
			&lt;longitude&gt;-42.75430499086986&lt;/longitude&gt;
			&lt;latitude&gt;-5.194134041436271&lt;/latitude&gt;
			&lt;altitude&gt;123.7716629417493&lt;/altitude&gt;
			&lt;heading&gt;0&lt;/heading&gt;
			&lt;tilt&gt;0&lt;/tilt&gt;
			&lt;gx:fovy&gt;35&lt;/gx:fovy&gt;
			&lt;range&gt;1250.929989266588&lt;/range&gt;
			&lt;altitudeMode&gt;absolute&lt;/altitudeMode&gt;
		&lt;/LookAt&gt;
		&lt;styleUrl&gt;#__managed_style_0C8406C00D3F141D0984&lt;/styleUrl&gt;
		&lt;LineString&gt;
			&lt;coordinates&gt;
				-42.75425259196296,-5.196361282227026,0 -42.75566135879075,-5.191609772838308,0 
			&lt;/coordinates&gt;
		&lt;/LineString&gt;
	&lt;/Placemark&gt;
	&lt;Placemark id="0BF701A2173F141D1240"&gt;
		&lt;name&gt;Marcador de local sem título&lt;/name&gt;
		&lt;LookAt&gt;
			&lt;longitude&gt;-42.75430499086986&lt;/longitude&gt;
			&lt;latitude&gt;-5.194134041436271&lt;/latitude&gt;
			&lt;altitude&gt;123.7716629417493&lt;/altitude&gt;
			&lt;heading&gt;0&lt;/heading&gt;
			&lt;tilt&gt;0&lt;/tilt&gt;
			&lt;gx:fovy&gt;35&lt;/gx:fovy&gt;
			&lt;range&gt;1250.929989266588&lt;/range&gt;
			&lt;altitudeMode&gt;absolute&lt;/altitudeMode&gt;
		&lt;/LookAt&gt;
		&lt;styleUrl&gt;#__managed_style_0AFB401BE83F141D1248&lt;/styleUrl&gt;
		&lt;Point&gt;
			&lt;coordinates&gt;-42.75422265591607,-5.196433668738083,132.5497637800574&lt;/coordinates&gt;
		&lt;/Point&gt;
	&lt;/Placemark&gt;
	&lt;Placemark id="03DED6B4373F141D928E"&gt;
		&lt;name&gt;Caminho sem título&lt;/name&gt;
		&lt;LookAt&gt;
			&lt;longitude&gt;-42.75422376592004&lt;/longitude&gt;
			&lt;latitude&gt;-5.194506853565267&lt;/latitude&gt;
			&lt;altitude&gt;125.4621386955235&lt;/altitude&gt;
			&lt;heading&gt;0&lt;/heading&gt;
			&lt;tilt&gt;0&lt;/tilt&gt;
			&lt;gx:fovy&gt;35&lt;/gx:fovy&gt;
			&lt;range&gt;1249.239507879684&lt;/range&gt;
			&lt;altitudeMode&gt;absolute&lt;/altitudeMode&gt;
		&lt;/LookAt&gt;
		&lt;styleUrl&gt;#__managed_style_0C8406C00D3F141D0984&lt;/styleUrl&gt;
		&lt;LineString&gt;
			&lt;coordinates&gt;
				-42.75438101543998,-5.195867811367536,0 -42.75305823432959,-5.195446679778814,0 -42.75275524817285,-5.196532686890941,0 -42.75418634093489,-5.196433807889346,0 
			&lt;/coordinates&gt;
		&lt;/LineString&gt;
	&lt;/Placemark&gt;
	&lt;Placemark id="074C90C3833F141DA071"&gt;
		&lt;name&gt;Marcador de local sem título&lt;/name&gt;
		&lt;LookAt&gt;
			&lt;longitude&gt;-42.75422376592004&lt;/longitude&gt;
			&lt;latitude&gt;-5.194506853565267&lt;/latitude&gt;
			&lt;altitude&gt;125.4621386955235&lt;/altitude&gt;
			&lt;heading&gt;0&lt;/heading&gt;
			&lt;tilt&gt;0&lt;/tilt&gt;
			&lt;gx:fovy&gt;35&lt;/gx:fovy&gt;
			&lt;range&gt;1249.239507879684&lt;/range&gt;
			&lt;altitudeMode&gt;absolute&lt;/altitudeMode&gt;
		&lt;/LookAt&gt;
		&lt;styleUrl&gt;#__managed_style_0AFB401BE83F141D1248&lt;/styleUrl&gt;
		&lt;Point&gt;
			&lt;coordinates&gt;-42.75431361913081,-5.196061635023868,132.0863646328896&lt;/coordinates&gt;
		&lt;/Point&gt;
	&lt;/Placemark&gt;
	&lt;Placemark id="01DFBF237F3F141DBB14"&gt;
		&lt;name&gt;Caminho sem título&lt;/name&gt;
		&lt;LookAt&gt;
			&lt;longitude&gt;-42.75422376592004&lt;/longitude&gt;
			&lt;latitude&gt;-5.194506853565267&lt;/latitude&gt;
			&lt;altitude&gt;125.4621386955235&lt;/altitude&gt;
			&lt;heading&gt;0&lt;/heading&gt;
			&lt;tilt&gt;0&lt;/tilt&gt;
			&lt;gx:fovy&gt;35&lt;/gx:fovy&gt;
			&lt;range&gt;1249.239507879684&lt;/range&gt;
			&lt;altitudeMode&gt;absolute&lt;/altitudeMode&gt;
		&lt;/LookAt&gt;
		&lt;styleUrl&gt;#__managed_style_0C8406C00D3F141D0984&lt;/styleUrl&gt;
		&lt;LineString&gt;
			&lt;coordinates&gt;
				-42.75425371590828,-5.196061593293271,0 -42.7529707833127,-5.196012471969865,0 
			&lt;/coordinates&gt;
		&lt;/LineString&gt;
	&lt;/Placemark&gt;
	&lt;Placemark id="0407BC1C643F141DC4F7"&gt;
		&lt;name&gt;Marcador de local sem título&lt;/name&gt;
		&lt;LookAt&gt;
			&lt;longitude&gt;-42.75422376592004&lt;/longitude&gt;
			&lt;latitude&gt;-5.194506853565267&lt;/latitude&gt;
			&lt;altitude&gt;125.4621386955235&lt;/altitude&gt;
			&lt;heading&gt;0&lt;/heading&gt;
			&lt;tilt&gt;0&lt;/tilt&gt;
			&lt;gx:fovy&gt;35&lt;/gx:fovy&gt;
			&lt;range&gt;1249.239507879684&lt;/range&gt;
			&lt;altitudeMode&gt;absolute&lt;/altitudeMode&gt;
		&lt;/LookAt&gt;
		&lt;styleUrl&gt;#__managed_style_0AFB401BE83F141D1248&lt;/styleUrl&gt;
		&lt;Point&gt;
			&lt;coordinates&gt;-42.75305827046432,-5.195454139129253,126.8470747243614&lt;/coordinates&gt;
		&lt;/Point&gt;
	&lt;/Placemark&gt;
	&lt;Placemark id="0FF4EB17B03F141DDB56"&gt;
		&lt;name&gt;Marcador de local sem título&lt;/name&gt;
		&lt;LookAt&gt;
			&lt;longitude&gt;-42.75422376592004&lt;/longitude&gt;
			&lt;latitude&gt;-5.194506853565267&lt;/latitude&gt;
			&lt;altitude&gt;125.4621386955235&lt;/altitude&gt;
			&lt;heading&gt;0&lt;/heading&gt;
			&lt;tilt&gt;0&lt;/tilt&gt;
			&lt;gx:fovy&gt;35&lt;/gx:fovy&gt;
			&lt;range&gt;1249.239507879684&lt;/range&gt;
			&lt;altitudeMode&gt;absolute&lt;/altitudeMode&gt;
		&lt;/LookAt&gt;
		&lt;styleUrl&gt;#__managed_style_0AFB401BE83F141D1248&lt;/styleUrl&gt;
		&lt;Point&gt;
			&lt;coordinates&gt;-42.75275498759983,-5.196540510580343,131.0934297816663&lt;/coordinates&gt;
		&lt;/Point&gt;
	&lt;/Placemark&gt;
&lt;/Document&gt;
&lt;/kml&gt;</t>
  </si>
  <si>
    <t>REFORMA DA PRAÇA Santo Antônio COM AREA DE 500,00 M² NO BAIRRO BUENOS AIRES, MUNICIPIO DE TERESINA-PI. CONT. 19/2024 - PRADA LTDA</t>
  </si>
  <si>
    <t>BUENOS AIRES</t>
  </si>
  <si>
    <t>NORTE</t>
  </si>
  <si>
    <t>&lt;?xml version="1.0" encoding="UTF-8"?&gt;
&lt;kml xmlns="http://www.opengis.net/kml/2.2" xmlns:gx="http://www.google.com/kml/ext/2.2" xmlns:kml="http://www.opengis.net/kml/2.2" xmlns:atom="http://www.w3.org/2005/Atom"&gt;
&lt;Document&gt;
	&lt;name&gt;PRAÇA, BAIRRO BUENOS AIRES, TERESINA-PI.kmz&lt;/name&gt;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&lt;name&gt;PRAÇA, BAIRRO BUENOS AIRES, TERESINA-PI&lt;/name&gt;
		&lt;LookAt&gt;
			&lt;longitude&gt;-42.81167521037349&lt;/longitude&gt;
			&lt;latitude&gt;-5.038681064000793&lt;/latitude&gt;
			&lt;altitude&gt;0&lt;/altitude&gt;
			&lt;heading&gt;-30.35406319492612&lt;/heading&gt;
			&lt;tilt&gt;4.494679694320325&lt;/tilt&gt;
			&lt;range&gt;275.552604304072&lt;/range&gt;
			&lt;gx:altitudeMode&gt;relativeToSeaFloor&lt;/gx:altitudeMode&gt;
		&lt;/LookAt&gt;
		&lt;styleUrl&gt;#m_ylw-pushpin&lt;/styleUrl&gt;
		&lt;Point&gt;
			&lt;gx:drawOrder&gt;1&lt;/gx:drawOrder&gt;
			&lt;coordinates&gt;-42.81180698827612,-5.03875255029241,0&lt;/coordinates&gt;
		&lt;/Point&gt;
		&lt;atom:link rel="app" href="https://www.google.com/earth/about/versions/#earth-pro" title="Google Earth Pro 7.3.6.10441"&gt;&lt;/atom:link&gt;
	&lt;/Placemark&gt;
&lt;/Document&gt;
&lt;/kml&gt;</t>
  </si>
  <si>
    <t>PAVIMENTAÇÃO ASFÁLTICA 9.780M² DE DIVERSAS RUAS NO MUNICÍPIO DE TERESINA-PI CONTRATO 37/2024</t>
  </si>
  <si>
    <t>SANTA MARIA</t>
  </si>
  <si>
    <t>&lt;?xml version="1.0" encoding="UTF-8"?&gt;
&lt;kml xmlns="http://www.opengis.net/kml/2.2" xmlns:gx="http://www.google.com/kml/ext/2.2" xmlns:kml="http://www.opengis.net/kml/2.2" xmlns:atom="http://www.w3.org/2005/Atom"&gt;
&lt;Document&gt;
	&lt;name&gt;12634.kmz&lt;/name&gt;
	&lt;StyleMap id="m_ylw-pushpin"&gt;
		&lt;Pair&gt;
			&lt;key&gt;normal&lt;/key&gt;
			&lt;styleUrl&gt;#s_ylw-pushpin&lt;/styleUrl&gt;
		&lt;/Pair&gt;
		&lt;Pair&gt;
			&lt;key&gt;highlight&lt;/key&gt;
			&lt;styleUrl&gt;#s_ylw-pushpin_hl0&lt;/styleUrl&gt;
		&lt;/Pair&gt;
	&lt;/StyleMap&gt;
	&lt;StyleMap id="m_ylw-pushpin0"&gt;
		&lt;Pair&gt;
			&lt;key&gt;normal&lt;/key&gt;
			&lt;styleUrl&gt;#s_ylw-pushpin0&lt;/styleUrl&gt;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id="s_ylw-pushpin0"&gt;
		&lt;IconStyle&gt;
			&lt;scale&gt;1.1&lt;/scale&gt;
			&lt;Icon&gt;
				&lt;href&gt;http://maps.google.com/mapfiles/kml/pushpin/ylw-pushpin.png&lt;/href&gt;
			&lt;/Icon&gt;
			&lt;hotSpot x="20" y="2" xunits="pixels" yunits="pixels"/&gt;
		&lt;/IconStyle&gt;
		&lt;LineStyle&gt;
			&lt;color&gt;ff0000ff&lt;/color&gt;
			&lt;width&gt;6&lt;/width&gt;
		&lt;/LineStyle&gt;
	&lt;/Style&gt;
	&lt;Style id="s_ylw-pushpin_hl"&gt;
		&lt;IconStyle&gt;
			&lt;scale&gt;1.3&lt;/scale&gt;
			&lt;Icon&gt;
				&lt;href&gt;http://maps.google.com/mapfiles/kml/pushpin/ylw-pushpin.png&lt;/href&gt;
			&lt;/Icon&gt;
			&lt;hotSpot x="20" y="2" xunits="pixels" yunits="pixels"/&gt;
		&lt;/IconStyle&gt;
		&lt;LineStyle&gt;
			&lt;color&gt;ff0000ff&lt;/color&gt;
			&lt;width&gt;6&lt;/width&gt;
		&lt;/LineStyle&gt;
	&lt;/Style&gt;
	&lt;Style id="s_ylw-pushpin_hl0"&gt;
		&lt;IconStyle&gt;
			&lt;scale&gt;1.3&lt;/scale&gt;
			&lt;Icon&gt;
				&lt;href&gt;http://maps.google.com/mapfiles/kml/pushpin/ylw-pushpin.png&lt;/href&gt;
			&lt;/Icon&gt;
			&lt;hotSpot x="20" y="2" xunits="pixels" yunits="pixels"/&gt;
		&lt;/IconStyle&gt;
	&lt;/Style&gt;
	&lt;Folder&gt;
		&lt;name&gt;12634&lt;/name&gt;
		&lt;open&gt;1&lt;/open&gt;
		&lt;Placemark&gt;
			&lt;name&gt;1&lt;/name&gt;
			&lt;LookAt&gt;
				&lt;longitude&gt;-42.83609477448697&lt;/longitude&gt;
				&lt;latitude&gt;-4.983087718753561&lt;/latitude&gt;
				&lt;altitude&gt;0&lt;/altitude&gt;
				&lt;heading&gt;13.21973236067784&lt;/heading&gt;
				&lt;tilt&gt;30.00660209928789&lt;/tilt&gt;
				&lt;range&gt;1469.902202219355&lt;/range&gt;
				&lt;gx:altitudeMode&gt;relativeToSeaFloor&lt;/gx:altitudeMode&gt;
			&lt;/LookAt&gt;
			&lt;styleUrl&gt;#m_ylw-pushpin&lt;/styleUrl&gt;
			&lt;Point&gt;
				&lt;gx:drawOrder&gt;1&lt;/gx:drawOrder&gt;
				&lt;coordinates&gt;-42.84235338168595,-4.98675018059856,0&lt;/coordinates&gt;
			&lt;/Point&gt;
		&lt;/Placemark&gt;
		&lt;Placemark&gt;
			&lt;name&gt;2&lt;/name&gt;
			&lt;LookAt&gt;
				&lt;longitude&gt;-42.84204446644664&lt;/longitude&gt;
				&lt;latitude&gt;-4.984839550258211&lt;/latitude&gt;
				&lt;altitude&gt;0&lt;/altitude&gt;
				&lt;heading&gt;0.1639942085497096&lt;/heading&gt;
				&lt;tilt&gt;5.906703252626812&lt;/tilt&gt;
				&lt;range&gt;413.0763448837736&lt;/range&gt;
				&lt;gx:altitudeMode&gt;relativeToSeaFloor&lt;/gx:altitudeMode&gt;
			&lt;/LookAt&gt;
			&lt;styleUrl&gt;#m_ylw-pushpin&lt;/styleUrl&gt;
			&lt;Point&gt;
				&lt;gx:drawOrder&gt;1&lt;/gx:drawOrder&gt;
				&lt;coordinates&gt;-42.830975,-4.985661111111111,0&lt;/coordinates&gt;
			&lt;/Point&gt;
		&lt;/Placemark&gt;
		&lt;Placemark&gt;
			&lt;name&gt;Caminho sem título&lt;/name&gt;
			&lt;styleUrl&gt;#m_ylw-pushpin0&lt;/styleUrl&gt;
			&lt;LineString&gt;
				&lt;tessellate&gt;1&lt;/tessellate&gt;
				&lt;coordinates&gt;
					-42.84231879260376,-4.986704697859573,0 -42.84068601401172,-4.986683299814154,0 -42.83886918900689,-4.986597318165844,0 -42.83706149310188,-4.986501867567753,0 -42.8348863293132,-4.986238520718983,0 -42.83287320473111,-4.985918317909009,0 -42.83097485279467,-4.985648877404972,0 
				&lt;/coordinates&gt;
			&lt;/LineString&gt;
		&lt;/Placemark&gt;
		&lt;Placemark&gt;
			&lt;name&gt;3&lt;/name&gt;
			&lt;LookAt&gt;
				&lt;longitude&gt;-42.84027345996027&lt;/longitude&gt;
				&lt;latitude&gt;-4.987016179891445&lt;/latitude&gt;
				&lt;altitude&gt;0&lt;/altitude&gt;
				&lt;heading&gt;13.22010351359451&lt;/heading&gt;
				&lt;tilt&gt;30.00124736670646&lt;/tilt&gt;
				&lt;range&gt;277.6782554047863&lt;/range&gt;
				&lt;gx:altitudeMode&gt;relativeToSeaFloor&lt;/gx:altitudeMode&gt;
			&lt;/LookAt&gt;
			&lt;styleUrl&gt;#m_ylw-pushpin&lt;/styleUrl&gt;
			&lt;Point&gt;
				&lt;gx:drawOrder&gt;1&lt;/gx:drawOrder&gt;
				&lt;coordinates&gt;-42.84080745430888,-4.985430180519103,0&lt;/coordinates&gt;
			&lt;/Point&gt;
		&lt;/Placemark&gt;
		&lt;Placemark&gt;
			&lt;name&gt;4&lt;/name&gt;
			&lt;LookAt&gt;
				&lt;longitude&gt;-42.83308026978283&lt;/longitude&gt;
				&lt;latitude&gt;-4.981931971656174&lt;/latitude&gt;
				&lt;altitude&gt;0&lt;/altitude&gt;
				&lt;heading&gt;13.21947008659049&lt;/heading&gt;
				&lt;tilt&gt;30.01078259896238&lt;/tilt&gt;
				&lt;range&gt;2400.655381943886&lt;/range&gt;
				&lt;gx:altitudeMode&gt;relativeToSeaFloor&lt;/gx:altitudeMode&gt;
			&lt;/LookAt&gt;
			&lt;styleUrl&gt;#m_ylw-pushpin&lt;/styleUrl&gt;
			&lt;Point&gt;
				&lt;gx:drawOrder&gt;1&lt;/gx:drawOrder&gt;
				&lt;coordinates&gt;-42.84059444444445,-4.988177777777778,0&lt;/coordinates&gt;
			&lt;/Point&gt;
		&lt;/Placemark&gt;
		&lt;Placemark&gt;
			&lt;name&gt;Caminho sem título&lt;/name&gt;
			&lt;styleUrl&gt;#m_ylw-pushpin0&lt;/styleUrl&gt;
			&lt;LineString&gt;
				&lt;tessellate&gt;1&lt;/tessellate&gt;
				&lt;coordinates&gt;
					-42.84079799899601,-4.985452531691718,0 -42.84066715128651,-4.986671143983764,0 -42.84059603711491,-4.988139734389922,0 
				&lt;/coordinates&gt;
			&lt;/LineString&gt;
		&lt;/Placemark&gt;
		&lt;atom:link rel="app" href="https://www.google.com/earth/about/versions/#earth-pro" title="Google Earth Pro 7.3.6.10201"&gt;&lt;/atom:link&gt;
	&lt;/Folder&gt;
&lt;/Document&gt;
&lt;/kml&gt;</t>
  </si>
  <si>
    <t>FUESPI</t>
  </si>
  <si>
    <t>OBRA EMERGENCIAL DE REFORMA DO SETOR 21 DA UNIVERSIDADE ESTADUAL DO PIAUÍ</t>
  </si>
  <si>
    <t>PIRAJÁ</t>
  </si>
  <si>
    <t>SECEPI</t>
  </si>
  <si>
    <t>REFORMA DE UM CENTRO ESPORTIVO NO MUNICÍPIO DE TERESINA-PI (VILA IRMÃ DULCE) - (OPA 2023)</t>
  </si>
  <si>
    <t>VILA IRMÃ DULCE</t>
  </si>
  <si>
    <t>PAVIMENTAÇÃO EM PARALELEPÍPEDO NA RUA FRANCISCA TRINDADE, NO BAIRRO PARQUE BRASIL, COM 7.477,26 M² EM TERESINA - PI</t>
  </si>
  <si>
    <t>PARQUE BRASIL,SANTA MARIA</t>
  </si>
  <si>
    <t>&lt;?xml version="1.0" encoding="UTF-8"?&gt;
&lt;kml xmlns="http://www.opengis.net/kml/2.2" xmlns:gx="http://www.google.com/kml/ext/2.2" xmlns:kml="http://www.opengis.net/kml/2.2" xmlns:atom="http://www.w3.org/2005/Atom"&gt;
&lt;Document&gt;
	&lt;name&gt;TERESINA PARQUE BRASIL - ID9109.kmz&lt;/name&gt;
	&lt;StyleMap id="m_ylw-pushpin"&gt;
		&lt;Pair&gt;
			&lt;key&gt;normal&lt;/key&gt;
			&lt;styleUrl&gt;#s_ylw-pushpin0&lt;/styleUrl&gt;
		&lt;/Pair&gt;
		&lt;Pair&gt;
			&lt;key&gt;highlight&lt;/key&gt;
			&lt;styleUrl&gt;#s_ylw-pushpin_hl0&lt;/styleUrl&gt;
		&lt;/Pair&gt;
	&lt;/StyleMap&gt;
	&lt;StyleMap id="m_ylw-pushpin0"&gt;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id="s_ylw-pushpin0"&gt;
		&lt;IconStyle&gt;
			&lt;scale&gt;1.1&lt;/scale&gt;
			&lt;Icon&gt;
				&lt;href&gt;http://maps.google.com/mapfiles/kml/pushpin/ylw-pushpin.png&lt;/href&gt;
			&lt;/Icon&gt;
			&lt;hotSpot x="20" y="2" xunits="pixels" yunits="pixels"/&gt;
		&lt;/IconStyle&gt;
		&lt;LineStyle&gt;
			&lt;width&gt;6&lt;/width&gt;
		&lt;/LineStyle&gt;
	&lt;/Style&gt;
	&lt;Style id="s_ylw-pushpin_hl"&gt;
		&lt;IconStyle&gt;
			&lt;scale&gt;1.3&lt;/scale&gt;
			&lt;Icon&gt;
				&lt;href&gt;http://maps.google.com/mapfiles/kml/pushpin/ylw-pushpin.png&lt;/href&gt;
			&lt;/Icon&gt;
			&lt;hotSpot x="20" y="2" xunits="pixels" yunits="pixels"/&gt;
		&lt;/IconStyle&gt;
	&lt;/Style&gt;
	&lt;Style id="s_ylw-pushpin_hl0"&gt;
		&lt;IconStyle&gt;
			&lt;scale&gt;1.3&lt;/scale&gt;
			&lt;Icon&gt;
				&lt;href&gt;http://maps.google.com/mapfiles/kml/pushpin/ylw-pushpin.png&lt;/href&gt;
			&lt;/Icon&gt;
			&lt;hotSpot x="20" y="2" xunits="pixels" yunits="pixels"/&gt;
		&lt;/IconStyle&gt;
		&lt;LineStyle&gt;
			&lt;width&gt;6&lt;/width&gt;
		&lt;/LineStyle&gt;
	&lt;/Style&gt;
	&lt;Folder&gt;
		&lt;name&gt;TERESINA PARQUE BRASIL&lt;/name&gt;
		&lt;open&gt;1&lt;/open&gt;
		&lt;Placemark&gt;
			&lt;name&gt;INÍCIO&lt;/name&gt;
			&lt;LookAt&gt;
				&lt;longitude&gt;-42.84630810713286&lt;/longitude&gt;
				&lt;latitude&gt;-5.000035751626426&lt;/latitude&gt;
				&lt;altitude&gt;0&lt;/altitude&gt;
				&lt;heading&gt;0.0001072292767066755&lt;/heading&gt;
				&lt;tilt&gt;0&lt;/tilt&gt;
				&lt;range&gt;1193.143679868733&lt;/range&gt;
				&lt;gx:altitudeMode&gt;relativeToSeaFloor&lt;/gx:altitudeMode&gt;
			&lt;/LookAt&gt;
			&lt;styleUrl&gt;#m_ylw-pushpin0&lt;/styleUrl&gt;
			&lt;Point&gt;
				&lt;gx:drawOrder&gt;1&lt;/gx:drawOrder&gt;
				&lt;coordinates&gt;-42.8518018325325,-5.0012248096645,0&lt;/coordinates&gt;
			&lt;/Point&gt;
		&lt;/Placemark&gt;
		&lt;Placemark&gt;
			&lt;name&gt;FIM&lt;/name&gt;
			&lt;LookAt&gt;
				&lt;longitude&gt;-42.84630810713286&lt;/longitude&gt;
				&lt;latitude&gt;-5.000035751626426&lt;/latitude&gt;
				&lt;altitude&gt;0&lt;/altitude&gt;
				&lt;heading&gt;0.0001072292767066755&lt;/heading&gt;
				&lt;tilt&gt;0&lt;/tilt&gt;
				&lt;range&gt;1193.143679868733&lt;/range&gt;
				&lt;gx:altitudeMode&gt;relativeToSeaFloor&lt;/gx:altitudeMode&gt;
			&lt;/LookAt&gt;
			&lt;styleUrl&gt;#m_ylw-pushpin0&lt;/styleUrl&gt;
			&lt;Point&gt;
				&lt;gx:drawOrder&gt;1&lt;/gx:drawOrder&gt;
				&lt;coordinates&gt;-42.84081433897276,-4.999001534254102,0&lt;/coordinates&gt;
			&lt;/Point&gt;
		&lt;/Placemark&gt;
		&lt;Placemark&gt;
			&lt;name&gt;Caminho sem título&lt;/name&gt;
			&lt;styleUrl&gt;#m_ylw-pushpin&lt;/styleUrl&gt;
			&lt;LineString&gt;
				&lt;tessellate&gt;1&lt;/tessellate&gt;
				&lt;coordinates&gt;
					-42.85178103925998,-5.00116493844078,0 -42.84537456938252,-4.999536133687421,0 -42.84330909855683,-4.999377883472191,0 -42.84218346658245,-4.999258510873707,0 -42.84140820301206,-4.999139688896489,0 -42.84079460197694,-4.998961973185962,0 
				&lt;/coordinates&gt;
			&lt;/LineString&gt;
		&lt;/Placemark&gt;
		&lt;atom:link rel="app" href="https://www.google.com/earth/about/versions/#earth-pro" title="Google Earth Pro 7.3.6.10201"&gt;&lt;/atom:link&gt;
	&lt;/Folder&gt;
&lt;/Document&gt;
&lt;/kml&gt;</t>
  </si>
  <si>
    <t>SEINFRA</t>
  </si>
  <si>
    <t>IMPLANTAÇÃO DE 6.990,00M² DE PAVIMENTAÇÃO EM PARALELEPIPEDO EM RUAS NA ZONA RURAL E URBANA NO MUNICIPIO DE TERESINA - PI</t>
  </si>
  <si>
    <t>ZONA RURAL</t>
  </si>
  <si>
    <t>&lt;?xml version="1.0" encoding="UTF-8"?&gt;
&lt;kml xmlns="http://www.opengis.net/kml/2.2"&gt;
  &lt;Document&gt;
    &lt;name&gt;Pavimentação em Paralelepípedos - Teresina/PI&lt;/name&gt;
    &lt;Style id="linha_vermelha"&gt;&lt;LineStyle&gt;&lt;color&gt;ff0000ff&lt;/color&gt;&lt;width&gt;5&lt;/width&gt;&lt;/LineStyle&gt;&lt;/Style&gt;
    &lt;Style id="ponto_amarelo"&gt;&lt;IconStyle&gt;&lt;scale&gt;1.1&lt;/scale&gt;&lt;Icon&gt;&lt;href&gt;http://maps.google.com/mapfiles/kml/pushpin/ylw-pushpin.png&lt;/href&gt;&lt;/Icon&gt;&lt;/IconStyle&gt;&lt;/Style&gt;
    &lt;Folder&gt;
      &lt;name&gt;RUA MIRAMAR&lt;/name&gt;
      &lt;Placemark&gt;
        &lt;name&gt;RUA MIRAMAR - Eixo do trecho&lt;/name&gt;
        &lt;description&gt;&lt;![CDATA[
    &lt;b&gt;RUA MIRAMAR&lt;/b&gt;&lt;br/&gt;
    Comprimento previsto: 198.00 m&lt;br/&gt;
    Largura prevista: 6.00 m&lt;br/&gt;
    Área prevista: 1188.00 m²&lt;br/&gt;
    Coordenadas extraídas do mapa de situação do PDF do projeto.&lt;br/&gt;
    Início: -5.191602, -42.775603&lt;br/&gt;
    Final: -5.191392, -42.777492
    ]]&gt;&lt;/description&gt;
        &lt;styleUrl&gt;#linha_vermelha&lt;/styleUrl&gt;
        &lt;LineString&gt;&lt;tessellate&gt;1&lt;/tessellate&gt;&lt;coordinates&gt;-42.775603,-5.191602,0 -42.777492,-5.191392,0&lt;/coordinates&gt;&lt;/LineString&gt;
      &lt;/Placemark&gt;
      &lt;Placemark&gt;&lt;name&gt;Início - RUA MIRAMAR&lt;/name&gt;&lt;styleUrl&gt;#ponto_amarelo&lt;/styleUrl&gt;&lt;Point&gt;&lt;coordinates&gt;-42.775603,-5.191602,0&lt;/coordinates&gt;&lt;/Point&gt;&lt;/Placemark&gt;
      &lt;Placemark&gt;&lt;name&gt;Final - RUA MIRAMAR&lt;/name&gt;&lt;styleUrl&gt;#ponto_amarelo&lt;/styleUrl&gt;&lt;Point&gt;&lt;coordinates&gt;-42.777492,-5.191392,0&lt;/coordinates&gt;&lt;/Point&gt;&lt;/Placemark&gt;
    &lt;/Folder&gt;
    &lt;Folder&gt;
      &lt;name&gt;RUA ALTERNATIVA&lt;/name&gt;
      &lt;Placemark&gt;
        &lt;name&gt;RUA ALTERNATIVA - Eixo do trecho&lt;/name&gt;
        &lt;description&gt;&lt;![CDATA[
    &lt;b&gt;RUA ALTERNATIVA&lt;/b&gt;&lt;br/&gt;
    Comprimento previsto: 200.00 m&lt;br/&gt;
    Largura prevista: 6.00 m&lt;br/&gt;
    Área prevista: 1200.00 m²&lt;br/&gt;
    Coordenadas extraídas do mapa de situação do PDF do projeto.&lt;br/&gt;
    Início: -5.190139, -42.783662&lt;br/&gt;
    Final: -5.188339, -42.783698
    ]]&gt;&lt;/description&gt;
        &lt;styleUrl&gt;#linha_vermelha&lt;/styleUrl&gt;
        &lt;LineString&gt;&lt;tessellate&gt;1&lt;/tessellate&gt;&lt;coordinates&gt;-42.783662,-5.190139,0 -42.783698,-5.188339,0&lt;/coordinates&gt;&lt;/LineString&gt;
      &lt;/Placemark&gt;
      &lt;Placemark&gt;&lt;name&gt;Início - RUA ALTERNATIVA&lt;/name&gt;&lt;styleUrl&gt;#ponto_amarelo&lt;/styleUrl&gt;&lt;Point&gt;&lt;coordinates&gt;-42.783662,-5.190139,0&lt;/coordinates&gt;&lt;/Point&gt;&lt;/Placemark&gt;
      &lt;Placemark&gt;&lt;name&gt;Final - RUA ALTERNATIVA&lt;/name&gt;&lt;styleUrl&gt;#ponto_amarelo&lt;/styleUrl&gt;&lt;Point&gt;&lt;coordinates&gt;-42.783698,-5.188339,0&lt;/coordinates&gt;&lt;/Point&gt;&lt;/Placemark&gt;
    &lt;/Folder&gt;
    &lt;Folder&gt;
      &lt;name&gt;RUA LIVRAMENTO&lt;/name&gt;
      &lt;Placemark&gt;
        &lt;name&gt;RUA LIVRAMENTO - Eixo do trecho&lt;/name&gt;
        &lt;description&gt;&lt;![CDATA[
    &lt;b&gt;RUA LIVRAMENTO&lt;/b&gt;&lt;br/&gt;
    Comprimento previsto: 375.00 m&lt;br/&gt;
    Largura prevista: 6.00 m&lt;br/&gt;
    Área prevista: 2250.00 m²&lt;br/&gt;
    Coordenadas extraídas do mapa de situação do PDF do projeto.&lt;br/&gt;
    Início: -5.192320, -42.781799&lt;br/&gt;
    Final: -5.192382, -42.778418
    ]]&gt;&lt;/description&gt;
        &lt;styleUrl&gt;#linha_vermelha&lt;/styleUrl&gt;
        &lt;LineString&gt;&lt;tessellate&gt;1&lt;/tessellate&gt;&lt;coordinates&gt;-42.781799,-5.192320,0 -42.778418,-5.192382,0&lt;/coordinates&gt;&lt;/LineString&gt;
      &lt;/Placemark&gt;
      &lt;Placemark&gt;&lt;name&gt;Início - RUA LIVRAMENTO&lt;/name&gt;&lt;styleUrl&gt;#ponto_amarelo&lt;/styleUrl&gt;&lt;Point&gt;&lt;coordinates&gt;-42.781799,-5.192320,0&lt;/coordinates&gt;&lt;/Point&gt;&lt;/Placemark&gt;
      &lt;Placemark&gt;&lt;name&gt;Final - RUA LIVRAMENTO&lt;/name&gt;&lt;styleUrl&gt;#ponto_amarelo&lt;/styleUrl&gt;&lt;Point&gt;&lt;coordinates&gt;-42.778418,-5.192382,0&lt;/coordinates&gt;&lt;/Point&gt;&lt;/Placemark&gt;
    &lt;/Folder&gt;
    &lt;Folder&gt;
      &lt;name&gt;RUA GLICOSE&lt;/name&gt;
      &lt;Placemark&gt;
        &lt;name&gt;RUA GLICOSE - Eixo do trecho&lt;/name&gt;
        &lt;description&gt;&lt;![CDATA[
    &lt;b&gt;RUA GLICOSE&lt;/b&gt;&lt;br/&gt;
    Comprimento previsto: 165.00 m&lt;br/&gt;
    Largura prevista: 6.00 m&lt;br/&gt;
    Área prevista: 990.00 m²&lt;br/&gt;
    Coordenadas extraídas do mapa de situação do PDF do projeto.&lt;br/&gt;
    Início: -5.188803, -42.773678&lt;br/&gt;
    Final: -5.187270, -42.773754
    ]]&gt;&lt;/description&gt;
        &lt;styleUrl&gt;#linha_vermelha&lt;/styleUrl&gt;
        &lt;LineString&gt;&lt;tessellate&gt;1&lt;/tessellate&gt;&lt;coordinates&gt;-42.773678,-5.188803,0 -42.773754,-5.187270,0&lt;/coordinates&gt;&lt;/LineString&gt;
      &lt;/Placemark&gt;
      &lt;Placemark&gt;&lt;name&gt;Início - RUA GLICOSE&lt;/name&gt;&lt;styleUrl&gt;#ponto_amarelo&lt;/styleUrl&gt;&lt;Point&gt;&lt;coordinates&gt;-42.773678,-5.188803,0&lt;/coordinates&gt;&lt;/Point&gt;&lt;/Placemark&gt;
      &lt;Placemark&gt;&lt;name&gt;Final - RUA GLICOSE&lt;/name&gt;&lt;styleUrl&gt;#ponto_amarelo&lt;/styleUrl&gt;&lt;Point&gt;&lt;coordinates&gt;-42.773754,-5.187270,0&lt;/coordinates&gt;&lt;/Point&gt;&lt;/Placemark&gt;
    &lt;/Folder&gt;
    &lt;Folder&gt;
      &lt;name&gt;RUA ORBITA&lt;/name&gt;
      &lt;Placemark&gt;
        &lt;name&gt;RUA ORBITA - Eixo do trecho&lt;/name&gt;
        &lt;description&gt;&lt;![CDATA[
    &lt;b&gt;RUA ORBITA&lt;/b&gt;&lt;br/&gt;
    Comprimento previsto: 47.00 m&lt;br/&gt;
    Largura prevista: 6.00 m&lt;br/&gt;
    Área prevista: 282.00 m²&lt;br/&gt;
    Coordenadas extraídas do mapa de situação do PDF do projeto.&lt;br/&gt;
    Início: -5.189075, -42.774417&lt;br/&gt;
    Final: -5.188671, -42.774313
    ]]&gt;&lt;/description&gt;
        &lt;styleUrl&gt;#linha_vermelha&lt;/styleUrl&gt;
        &lt;LineString&gt;&lt;tessellate&gt;1&lt;/tessellate&gt;&lt;coordinates&gt;-42.774417,-5.189075,0 -42.774313,-5.188671,0&lt;/coordinates&gt;&lt;/LineString&gt;
      &lt;/Placemark&gt;
      &lt;Placemark&gt;&lt;name&gt;Início - RUA ORBITA&lt;/name&gt;&lt;styleUrl&gt;#ponto_amarelo&lt;/styleUrl&gt;&lt;Point&gt;&lt;coordinates&gt;-42.774417,-5.189075,0&lt;/coordinates&gt;&lt;/Point&gt;&lt;/Placemark&gt;
      &lt;Placemark&gt;&lt;name&gt;Final - RUA ORBITA&lt;/name&gt;&lt;styleUrl&gt;#ponto_amarelo&lt;/styleUrl&gt;&lt;Point&gt;&lt;coordinates&gt;-42.774313,-5.188671,0&lt;/coordinates&gt;&lt;/Point&gt;&lt;/Placemark&gt;
    &lt;/Folder&gt;
    &lt;Folder&gt;
      &lt;name&gt;RUA FOLICULO&lt;/name&gt;
      &lt;Placemark&gt;
        &lt;name&gt;RUA FOLICULO - Eixo do trecho&lt;/name&gt;
        &lt;description&gt;&lt;![CDATA[
    &lt;b&gt;RUA FOLICULO&lt;/b&gt;&lt;br/&gt;
    Comprimento previsto: 180.00 m&lt;br/&gt;
    Largura prevista: 6.00 m&lt;br/&gt;
    Área prevista: 1080.00 m²&lt;br/&gt;
    Coordenadas extraídas do mapa de situação do PDF do projeto.&lt;br/&gt;
    Início: -5.190531, -42.779056&lt;br/&gt;
    Final: -5.190840, -42.780647
    ]]&gt;&lt;/description&gt;
        &lt;styleUrl&gt;#linha_vermelha&lt;/styleUrl&gt;
        &lt;LineString&gt;&lt;tessellate&gt;1&lt;/tessellate&gt;&lt;coordinates&gt;-42.779056,-5.190531,0 -42.780647,-5.190840,0&lt;/coordinates&gt;&lt;/LineString&gt;
      &lt;/Placemark&gt;
      &lt;Placemark&gt;&lt;name&gt;Início - RUA FOLICULO&lt;/name&gt;&lt;styleUrl&gt;#ponto_amarelo&lt;/styleUrl&gt;&lt;Point&gt;&lt;coordinates&gt;-42.779056,-5.190531,0&lt;/coordinates&gt;&lt;/Point&gt;&lt;/Placemark&gt;
      &lt;Placemark&gt;&lt;name&gt;Final - RUA FOLICULO&lt;/name&gt;&lt;styleUrl&gt;#ponto_amarelo&lt;/styleUrl&gt;&lt;Point&gt;&lt;coordinates&gt;-42.780647,-5.190840,0&lt;/coordinates&gt;&lt;/Point&gt;&lt;/Placemark&gt;
    &lt;/Folder&gt;
  &lt;/Document&gt;
&lt;/kml&gt;</t>
  </si>
  <si>
    <t>REFORMA DO PISO NO CAMPUS CLÓVIS MOURA DA UNIVERSIDADE ESTADUAL DO PIAUÍ (UESPI)</t>
  </si>
  <si>
    <t>ITARARÉ</t>
  </si>
  <si>
    <t>SUDESTE</t>
  </si>
  <si>
    <t>&lt;?xml version="1.0" encoding="UTF-8"?&gt;
&lt;kml xmlns="http://www.opengis.net/kml/2.2" xmlns:gx="http://www.google.com/kml/ext/2.2" xmlns:kml="http://www.opengis.net/kml/2.2" xmlns:atom="http://www.w3.org/2005/Atom"&gt;
&lt;Document id="document"&gt;
	&lt;name&gt;Mapa sem título&lt;/name&gt;
	&lt;gx:CascadingStyle kml:id="__managed_style_045F00CC553F13C92130_normal"&gt;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&lt;gx:CascadingStyle kml:id="__managed_style_045F00CC553F13C92130_highlight"&gt;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&lt;StyleMap id="__managed_style_045F00CC553F13C92130"&gt;
		&lt;Pair&gt;
			&lt;key&gt;normal&lt;/key&gt;
			&lt;styleUrl&gt;#__managed_style_045F00CC553F13C92130_normal&lt;/styleUrl&gt;
		&lt;/Pair&gt;
		&lt;Pair&gt;
			&lt;key&gt;highlight&lt;/key&gt;
			&lt;styleUrl&gt;#__managed_style_045F00CC553F13C92130_highlight&lt;/styleUrl&gt;
		&lt;/Pair&gt;
	&lt;/StyleMap&gt;
	&lt;Placemark id="04D4016AB13F13C9211E"&gt;
		&lt;name&gt;5°05&amp;apos;54.0&amp;quot;S 42°45&amp;apos;30.0&amp;quot;W&lt;/name&gt;
		&lt;LookAt&gt;
			&lt;longitude&gt;-42.7583333&lt;/longitude&gt;
			&lt;latitude&gt;-5.098333300000001&lt;/latitude&gt;
			&lt;altitude&gt;0&lt;/altitude&gt;
			&lt;heading&gt;0&lt;/heading&gt;
			&lt;tilt&gt;0&lt;/tilt&gt;
			&lt;gx:fovy&gt;35&lt;/gx:fovy&gt;
			&lt;range&gt;1076.940324239245&lt;/range&gt;
			&lt;altitudeMode&gt;relativeToGround&lt;/altitudeMode&gt;
		&lt;/LookAt&gt;
		&lt;styleUrl&gt;#__managed_style_045F00CC553F13C92130&lt;/styleUrl&gt;
		&lt;Point&gt;
			&lt;extrude&gt;1&lt;/extrude&gt;
			&lt;coordinates&gt;-42.7583333,-5.0983333,0&lt;/coordinates&gt;
		&lt;/Point&gt;
	&lt;/Placemark&gt;
&lt;/Document&gt;
&lt;/kml&gt;</t>
  </si>
  <si>
    <t>SEDUC</t>
  </si>
  <si>
    <t>CONSTRUÇÃO DA QUADRA DO CETI FLORESTAN FERNANDES EM TERESINA-PI</t>
  </si>
  <si>
    <t>BOM PRINCÍPIO</t>
  </si>
  <si>
    <t>&lt;?xml version="1.0" encoding="UTF-8"?&gt;
&lt;kml xmlns="http://www.opengis.net/kml/2.2" xmlns:gx="http://www.google.com/kml/ext/2.2" xmlns:kml="http://www.opengis.net/kml/2.2" xmlns:atom="http://www.w3.org/2005/Atom"&gt;
&lt;Document&gt;
	&lt;name&gt;QUADRA CETI PROFESSOR FLORESTAN FERNANDES.kml&lt;/name&gt;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&lt;name&gt;QUADRA CETI PROFESSOR FLORESTAN FERNANDES&lt;/name&gt;
		&lt;LookAt&gt;
			&lt;longitude&gt;-42.70825912056877&lt;/longitude&gt;
			&lt;latitude&gt;-5.120577080848514&lt;/latitude&gt;
			&lt;altitude&gt;0&lt;/altitude&gt;
			&lt;heading&gt;-2.402694022039057e-05&lt;/heading&gt;
			&lt;tilt&gt;22.61166273362371&lt;/tilt&gt;
			&lt;range&gt;268.1331333326354&lt;/range&gt;
			&lt;gx:altitudeMode&gt;relativeToSeaFloor&lt;/gx:altitudeMode&gt;
		&lt;/LookAt&gt;
		&lt;styleUrl&gt;#m_ylw-pushpin&lt;/styleUrl&gt;
		&lt;Point&gt;
			&lt;gx:drawOrder&gt;1&lt;/gx:drawOrder&gt;
			&lt;coordinates&gt;-42.70740736690692,-5.120592057597298,0&lt;/coordinates&gt;
		&lt;/Point&gt;
		&lt;atom:link rel="app" href="https://www.google.com/earth/about/versions/#earth-pro" title="Google Earth Pro 7.3.7.1155"&gt;&lt;/atom:link&gt;
	&lt;/Placemark&gt;
&lt;/Document&gt;
&lt;/kml&gt;</t>
  </si>
  <si>
    <t>REFORMA DE UM GALPÃO DA ASSOCIAÇÃO DE MORADORES DO PARQUE PIAUI POR MEIO DO ORÇAMENTO POPULAR (OPA) -CENTRO DE CONVIVÊNCIA</t>
  </si>
  <si>
    <t>PARQUE PIAUÍ</t>
  </si>
  <si>
    <t>&lt;?xml version="1.0" encoding="UTF-8"?&gt;
&lt;kml xmlns="http://www.opengis.net/kml/2.2" xmlns:gx="http://www.google.com/kml/ext/2.2" xmlns:kml="http://www.opengis.net/kml/2.2" xmlns:atom="http://www.w3.org/2005/Atom"&gt;
&lt;Document id="document"&gt;
	&lt;name&gt;Mapa sem título&lt;/name&gt;
	&lt;gx:CascadingStyle kml:id="__managed_style_0A912C1DFB3F14032847_highlight"&gt;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kml:id="__managed_style_0A912C1DFB3F14032847_normal"&gt;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id="__managed_style_0A912C1DFB3F14032847"&gt;
		&lt;Pair&gt;
			&lt;key&gt;normal&lt;/key&gt;
			&lt;styleUrl&gt;#__managed_style_0A912C1DFB3F14032847_normal&lt;/styleUrl&gt;
		&lt;/Pair&gt;
		&lt;Pair&gt;
			&lt;key&gt;highlight&lt;/key&gt;
			&lt;styleUrl&gt;#__managed_style_0A912C1DFB3F14032847_highlight&lt;/styleUrl&gt;
		&lt;/Pair&gt;
	&lt;/StyleMap&gt;
	&lt;Placemark id="09A6F1B2213F14032836"&gt;
		&lt;name&gt;5°08&amp;apos;35.0&amp;quot;S 42°47&amp;apos;15.0&amp;quot;W&lt;/name&gt;
		&lt;LookAt&gt;
			&lt;longitude&gt;-42.78750000000001&lt;/longitude&gt;
			&lt;latitude&gt;-5.143055999999999&lt;/latitude&gt;
			&lt;altitude&gt;0&lt;/altitude&gt;
			&lt;heading&gt;0&lt;/heading&gt;
			&lt;tilt&gt;0&lt;/tilt&gt;
			&lt;gx:fovy&gt;35&lt;/gx:fovy&gt;
			&lt;range&gt;1051.780783312499&lt;/range&gt;
			&lt;altitudeMode&gt;relativeToGround&lt;/altitudeMode&gt;
		&lt;/LookAt&gt;
		&lt;styleUrl&gt;#__managed_style_0A912C1DFB3F14032847&lt;/styleUrl&gt;
		&lt;Point&gt;
			&lt;extrude&gt;1&lt;/extrude&gt;
			&lt;coordinates&gt;-42.7875,-5.143056,0&lt;/coordinates&gt;
		&lt;/Point&gt;
	&lt;/Placemark&gt;
&lt;/Document&gt;
&lt;/kml&gt;</t>
  </si>
  <si>
    <t>SEAD</t>
  </si>
  <si>
    <t>MANUTENÇÃO PREDIAL PREDIOS DA SEADPREV</t>
  </si>
  <si>
    <t>SÃO PEDRO</t>
  </si>
  <si>
    <t>PAVIMENTAÇÃO EM PARALELEPÍPEDO DE VIAS NO MUNICÍPIO DE TERESINA - PI,ÁREA 3.156,00M²</t>
  </si>
  <si>
    <t>PORTO DO CENTRO, SATÉLITE</t>
  </si>
  <si>
    <t>LESTE</t>
  </si>
  <si>
    <t>PAVIMENTAÇÃO DE 3.120,00 M² VIAS EM PARALELEPÍPEDO NO MUNICÍPIO DE TERESINA (PI)</t>
  </si>
  <si>
    <t>SEAGRO</t>
  </si>
  <si>
    <t>EXECUTAR REFORMA E CONSTRUÇÃO DE UM ALOJAMENTO FEMININO COM BANHEIRO E PINTURA DO 13° BATALHÃO DE POLICIA MILITAR NO MUNICÍPIO DE TERESINA-PI</t>
  </si>
  <si>
    <t>PARQUE BRASIL</t>
  </si>
  <si>
    <t>SERVIÇO DE MANUTENÇÃO EMERGENCIAL DA UESPI</t>
  </si>
  <si>
    <t>ISBPI</t>
  </si>
  <si>
    <t>IMPLANTAÇÃO DE SISTEMA DE ABASTECIMENTO DE ÁGUA NA LOCALIDADE PIMENTA, ZONA RURAL DO MUNICÍPIO DE TERESINA - PI.</t>
  </si>
  <si>
    <t>PIMENTA</t>
  </si>
  <si>
    <t>&lt;?xml version="1.0" encoding="UTF-8"?&gt;
&lt;kml xmlns="http://www.opengis.net/kml/2.2" xmlns:gx="http://www.google.com/kml/ext/2.2" xmlns:kml="http://www.opengis.net/kml/2.2" xmlns:atom="http://www.w3.org/2005/Atom"&gt;
&lt;Document id="document"&gt;
	&lt;name&gt;Mapa sem título&lt;/name&gt;
	&lt;gx:CascadingStyle kml:id="__managed_style_0AA54279BC3F13FA92CC_highlight"&gt;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kml:id="__managed_style_0AA54279BC3F13FA92CC_normal"&gt;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id="__managed_style_0AA54279BC3F13FA92CC"&gt;
		&lt;Pair&gt;
			&lt;key&gt;normal&lt;/key&gt;
			&lt;styleUrl&gt;#__managed_style_0AA54279BC3F13FA92CC_normal&lt;/styleUrl&gt;
		&lt;/Pair&gt;
		&lt;Pair&gt;
			&lt;key&gt;highlight&lt;/key&gt;
			&lt;styleUrl&gt;#__managed_style_0AA54279BC3F13FA92CC_highlight&lt;/styleUrl&gt;
		&lt;/Pair&gt;
	&lt;/StyleMap&gt;
	&lt;Placemark id="04EFFA150F3F13FA925C"&gt;
		&lt;name&gt;5°00&amp;apos;01.0&amp;quot;S 42°41&amp;apos;58.0&amp;quot;W&lt;/name&gt;
		&lt;LookAt&gt;
			&lt;longitude&gt;-42.6994444&lt;/longitude&gt;
			&lt;latitude&gt;-5.0002778&lt;/latitude&gt;
			&lt;altitude&gt;0&lt;/altitude&gt;
			&lt;heading&gt;0&lt;/heading&gt;
			&lt;tilt&gt;0&lt;/tilt&gt;
			&lt;gx:fovy&gt;35&lt;/gx:fovy&gt;
			&lt;range&gt;1052.041215929123&lt;/range&gt;
			&lt;altitudeMode&gt;relativeToGround&lt;/altitudeMode&gt;
		&lt;/LookAt&gt;
		&lt;styleUrl&gt;#__managed_style_0AA54279BC3F13FA92CC&lt;/styleUrl&gt;
		&lt;Point&gt;
			&lt;extrude&gt;1&lt;/extrude&gt;
			&lt;coordinates&gt;-42.6994444,-5.0002778,0&lt;/coordinates&gt;
		&lt;/Point&gt;
	&lt;/Placemark&gt;
&lt;/Document&gt;
&lt;/kml&gt;</t>
  </si>
  <si>
    <t>SEDEC</t>
  </si>
  <si>
    <t>PAVIMENTAÇÃO EM PARALELEPÍPEDO DE 3.240,00 M² DE VIAS NO MUNICÍPIO DE TERESINA - PI</t>
  </si>
  <si>
    <t>SANTANA</t>
  </si>
  <si>
    <t>&lt;?xml version="1.0" encoding="UTF-8"?&gt;
&lt;kml xmlns="http://www.opengis.net/kml/2.2" xmlns:gx="http://www.google.com/kml/ext/2.2" xmlns:kml="http://www.opengis.net/kml/2.2" xmlns:atom="http://www.w3.org/2005/Atom"&gt;
&lt;Document&gt;
	&lt;name&gt;Pavimentação em paralelepipedo Teresina.kml&lt;/name&gt;
	&lt;StyleMap id="msn_red-circle010"&gt;
		&lt;Pair&gt;
			&lt;key&gt;normal&lt;/key&gt;
			&lt;styleUrl&gt;#sn_red-circle01&lt;/styleUrl&gt;
		&lt;/Pair&gt;
		&lt;Pair&gt;
			&lt;key&gt;highlight&lt;/key&gt;
			&lt;styleUrl&gt;#sh_red-circle110&lt;/styleUrl&gt;
		&lt;/Pair&gt;
	&lt;/StyleMap&gt;
	&lt;StyleMap id="msn_red-circle011"&gt;
		&lt;Pair&gt;
			&lt;key&gt;normal&lt;/key&gt;
			&lt;styleUrl&gt;#sn_red-circle001&lt;/styleUrl&gt;
		&lt;/Pair&gt;
		&lt;Pair&gt;
			&lt;key&gt;highlight&lt;/key&gt;
			&lt;styleUrl&gt;#sh_red-circle12&lt;/styleUrl&gt;
		&lt;/Pair&gt;
	&lt;/StyleMap&gt;
	&lt;StyleMap id="msn_ylw-pushpin400"&gt;
		&lt;Pair&gt;
			&lt;key&gt;normal&lt;/key&gt;
			&lt;styleUrl&gt;#sn_ylw-pushpin30&lt;/styleUrl&gt;
		&lt;/Pair&gt;
		&lt;Pair&gt;
			&lt;key&gt;highlight&lt;/key&gt;
			&lt;styleUrl&gt;#sh_ylw-pushpin0010&lt;/styleUrl&gt;
		&lt;/Pair&gt;
	&lt;/StyleMap&gt;
	&lt;StyleMap id="msn_ylw-pushpin70"&gt;
		&lt;Pair&gt;
			&lt;key&gt;normal&lt;/key&gt;
			&lt;styleUrl&gt;#sn_ylw-pushpin20&lt;/styleUrl&gt;
		&lt;/Pair&gt;
		&lt;Pair&gt;
			&lt;key&gt;highlight&lt;/key&gt;
			&lt;styleUrl&gt;#sh_ylw-pushpin30&lt;/styleUrl&gt;
		&lt;/Pair&gt;
	&lt;/StyleMap&gt;
	&lt;Style id="sh_red-circle110"&gt;
		&lt;IconStyle&gt;
			&lt;color&gt;ff0000ff&lt;/color&gt;
			&lt;scale&gt;1.3&lt;/scale&gt;
			&lt;Icon&gt;
				&lt;href&gt;http://maps.google.com/mapfiles/kml/paddle/red-circle.png&lt;/href&gt;
			&lt;/Icon&gt;
			&lt;hotSpot x="32" y="1" xunits="pixels" yunits="pixels"/&gt;
		&lt;/IconStyle&gt;
		&lt;LabelStyle&gt;
			&lt;color&gt;ff00ffff&lt;/color&gt;
		&lt;/LabelStyle&gt;
		&lt;ListStyle&gt;
			&lt;ItemIcon&gt;
				&lt;href&gt;http://maps.google.com/mapfiles/kml/paddle/red-circle-lv.png&lt;/href&gt;
			&lt;/ItemIcon&gt;
		&lt;/ListStyle&gt;
	&lt;/Style&gt;
	&lt;Style id="sh_red-circle12"&gt;
		&lt;IconStyle&gt;
			&lt;color&gt;ff0000ff&lt;/color&gt;
			&lt;scale&gt;1.3&lt;/scale&gt;
			&lt;Icon&gt;
				&lt;href&gt;http://maps.google.com/mapfiles/kml/paddle/red-circle.png&lt;/href&gt;
			&lt;/Icon&gt;
			&lt;hotSpot x="32" y="1" xunits="pixels" yunits="pixels"/&gt;
		&lt;/IconStyle&gt;
		&lt;LabelStyle&gt;
			&lt;color&gt;ff00ffff&lt;/color&gt;
		&lt;/LabelStyle&gt;
		&lt;ListStyle&gt;
			&lt;ItemIcon&gt;
				&lt;href&gt;http://maps.google.com/mapfiles/kml/paddle/red-circle-lv.png&lt;/href&gt;
			&lt;/ItemIcon&gt;
		&lt;/ListStyle&gt;
	&lt;/Style&gt;
	&lt;Style id="sh_ylw-pushpin0010"&gt;
		&lt;IconStyle&gt;
			&lt;scale&gt;1.3&lt;/scale&gt;
			&lt;Icon&gt;
				&lt;href&gt;http://maps.google.com/mapfiles/kml/pushpin/ylw-pushpin.png&lt;/href&gt;
			&lt;/Icon&gt;
			&lt;hotSpot x="20" y="2" xunits="pixels" yunits="pixels"/&gt;
		&lt;/IconStyle&gt;
		&lt;LineStyle&gt;
			&lt;color&gt;ff00ffff&lt;/color&gt;
			&lt;width&gt;6&lt;/width&gt;
		&lt;/LineStyle&gt;
	&lt;/Style&gt;
	&lt;Style id="sh_ylw-pushpin30"&gt;
		&lt;IconStyle&gt;
			&lt;scale&gt;1.3&lt;/scale&gt;
			&lt;Icon&gt;
				&lt;href&gt;http://maps.google.com/mapfiles/kml/pushpin/ylw-pushpin.png&lt;/href&gt;
			&lt;/Icon&gt;
			&lt;hotSpot x="20" y="2" xunits="pixels" yunits="pixels"/&gt;
		&lt;/IconStyle&gt;
		&lt;LineStyle&gt;
			&lt;color&gt;ffff0000&lt;/color&gt;
			&lt;width&gt;6&lt;/width&gt;
		&lt;/LineStyle&gt;
	&lt;/Style&gt;
	&lt;Style id="sn_red-circle001"&gt;
		&lt;IconStyle&gt;
			&lt;color&gt;ff0000ff&lt;/color&gt;
			&lt;scale&gt;1.1&lt;/scale&gt;
			&lt;Icon&gt;
				&lt;href&gt;http://maps.google.com/mapfiles/kml/paddle/red-circle.png&lt;/href&gt;
			&lt;/Icon&gt;
			&lt;hotSpot x="32" y="1" xunits="pixels" yunits="pixels"/&gt;
		&lt;/IconStyle&gt;
		&lt;LabelStyle&gt;
			&lt;color&gt;ff00ffff&lt;/color&gt;
		&lt;/LabelStyle&gt;
		&lt;ListStyle&gt;
			&lt;ItemIcon&gt;
				&lt;href&gt;http://maps.google.com/mapfiles/kml/paddle/red-circle-lv.png&lt;/href&gt;
			&lt;/ItemIcon&gt;
		&lt;/ListStyle&gt;
	&lt;/Style&gt;
	&lt;Style id="sn_red-circle01"&gt;
		&lt;IconStyle&gt;
			&lt;color&gt;ff0000ff&lt;/color&gt;
			&lt;scale&gt;1.1&lt;/scale&gt;
			&lt;Icon&gt;
				&lt;href&gt;http://maps.google.com/mapfiles/kml/paddle/red-circle.png&lt;/href&gt;
			&lt;/Icon&gt;
			&lt;hotSpot x="32" y="1" xunits="pixels" yunits="pixels"/&gt;
		&lt;/IconStyle&gt;
		&lt;LabelStyle&gt;
			&lt;color&gt;ff00ffff&lt;/color&gt;
		&lt;/LabelStyle&gt;
		&lt;ListStyle&gt;
			&lt;ItemIcon&gt;
				&lt;href&gt;http://maps.google.com/mapfiles/kml/paddle/red-circle-lv.png&lt;/href&gt;
			&lt;/ItemIcon&gt;
		&lt;/ListStyle&gt;
	&lt;/Style&gt;
	&lt;Style id="sn_ylw-pushpin20"&gt;
		&lt;IconStyle&gt;
			&lt;scale&gt;1.1&lt;/scale&gt;
			&lt;Icon&gt;
				&lt;href&gt;http://maps.google.com/mapfiles/kml/pushpin/ylw-pushpin.png&lt;/href&gt;
			&lt;/Icon&gt;
			&lt;hotSpot x="20" y="2" xunits="pixels" yunits="pixels"/&gt;
		&lt;/IconStyle&gt;
		&lt;LineStyle&gt;
			&lt;color&gt;ffff0000&lt;/color&gt;
			&lt;width&gt;6&lt;/width&gt;
		&lt;/LineStyle&gt;
	&lt;/Style&gt;
	&lt;Style id="sn_ylw-pushpin30"&gt;
		&lt;IconStyle&gt;
			&lt;scale&gt;1.1&lt;/scale&gt;
			&lt;Icon&gt;
				&lt;href&gt;http://maps.google.com/mapfiles/kml/pushpin/ylw-pushpin.png&lt;/href&gt;
			&lt;/Icon&gt;
			&lt;hotSpot x="20" y="2" xunits="pixels" yunits="pixels"/&gt;
		&lt;/IconStyle&gt;
		&lt;LineStyle&gt;
			&lt;color&gt;ff00ffff&lt;/color&gt;
			&lt;width&gt;6&lt;/width&gt;
		&lt;/LineStyle&gt;
	&lt;/Style&gt;
	&lt;Folder&gt;
		&lt;name&gt;Teresina&lt;/name&gt;
		&lt;open&gt;1&lt;/open&gt;
		&lt;Placemark&gt;
			&lt;name&gt;RUA 01 - RUA SÃO JOSÉ INICIO&lt;/name&gt;
			&lt;LookAt&gt;
				&lt;longitude&gt;-42.697203657979&lt;/longitude&gt;
				&lt;latitude&gt;-5.143865808904898&lt;/latitude&gt;
				&lt;altitude&gt;0&lt;/altitude&gt;
				&lt;heading&gt;0.001627036148424574&lt;/heading&gt;
				&lt;tilt&gt;30.00052232066404&lt;/tilt&gt;
				&lt;range&gt;115.5282043498349&lt;/range&gt;
				&lt;gx:altitudeMode&gt;relativeToSeaFloor&lt;/gx:altitudeMode&gt;
			&lt;/LookAt&gt;
			&lt;styleUrl&gt;#msn_red-circle010&lt;/styleUrl&gt;
			&lt;Point&gt;
				&lt;gx:drawOrder&gt;1&lt;/gx:drawOrder&gt;
				&lt;coordinates&gt;-42.69715331064393,-5.144088466266489,0&lt;/coordinates&gt;
			&lt;/Point&gt;
		&lt;/Placemark&gt;
		&lt;Placemark&gt;
			&lt;name&gt;RUA 01 - RUA SÃO JOSÉ FINAL&lt;/name&gt;
			&lt;LookAt&gt;
				&lt;longitude&gt;-42.69712272407011&lt;/longitude&gt;
				&lt;latitude&gt;-5.143743738028937&lt;/latitude&gt;
				&lt;altitude&gt;0&lt;/altitude&gt;
				&lt;heading&gt;-2.185520242366938&lt;/heading&gt;
				&lt;tilt&gt;30.00113683075632&lt;/tilt&gt;
				&lt;range&gt;252.8599320735956&lt;/range&gt;
				&lt;gx:altitudeMode&gt;relativeToSeaFloor&lt;/gx:altitudeMode&gt;
			&lt;/LookAt&gt;
			&lt;styleUrl&gt;#msn_red-circle010&lt;/styleUrl&gt;
			&lt;Point&gt;
				&lt;gx:drawOrder&gt;1&lt;/gx:drawOrder&gt;
				&lt;coordinates&gt;-42.70065,-5.144932,0&lt;/coordinates&gt;
			&lt;/Point&gt;
		&lt;/Placemark&gt;
		&lt;Placemark&gt;
			&lt;name&gt;RUA 01 - RUA SAO JOSE - 400,00 X 6,00 m&lt;/name&gt;
			&lt;styleUrl&gt;#msn_ylw-pushpin400&lt;/styleUrl&gt;
			&lt;LineString&gt;
				&lt;tessellate&gt;1&lt;/tessellate&gt;
				&lt;coordinates&gt;
					-42.70064644868596,-5.144934999543494,0 -42.70048109621265,-5.144937553758594,0 -42.70042743791774,-5.144931048705377,0 -42.70033781473876,-5.144898376114619,0 -42.70028931517036,-5.144876869480056,0 -42.70018779601545,-5.144841327045611,0 -42.70013031284348,-5.144812885520113,0 -42.70007106754791,-5.144785902444821,0 -42.699996251493,-5.144757518492438,0 -42.69978989207559,-5.144698659561388,0 -42.6995867371361,-5.144628027923324,0 -42.69941153356128,-5.144589018927955,0 -42.69935084333052,-5.144579715154348,0 -42.69889738229075,-5.144478131959481,0 -42.69759588033745,-5.144177969814131,0 -42.69753890937773,-5.144156424366439,0 -42.69747532194159,-5.14413960647755,0 -42.69743131277593,-5.144126437066642,0 -42.69738034759824,-5.144115655261044,0 -42.69732884557872,-5.14410873201988,0 -42.69727533627848,-5.144113773512856,0 -42.69723605785743,-5.144109567756658,0 -42.69715677220419,-5.144092935152702,0 
				&lt;/coordinates&gt;
			&lt;/LineString&gt;
		&lt;/Placemark&gt;
		&lt;Placemark&gt;
			&lt;name&gt;RUA 02 - RUA ANA MARIA DOS SANTOS MARTINS INICIO&lt;/name&gt;
			&lt;LookAt&gt;
				&lt;longitude&gt;-42.68534581553216&lt;/longitude&gt;
				&lt;latitude&gt;-5.135315356360266&lt;/latitude&gt;
				&lt;altitude&gt;0&lt;/altitude&gt;
				&lt;heading&gt;6.116080135544852&lt;/heading&gt;
				&lt;tilt&gt;21.63300400835964&lt;/tilt&gt;
				&lt;range&gt;193.7061274258421&lt;/range&gt;
				&lt;gx:altitudeMode&gt;relativeToSeaFloor&lt;/gx:altitudeMode&gt;
			&lt;/LookAt&gt;
			&lt;styleUrl&gt;#msn_red-circle011&lt;/styleUrl&gt;
			&lt;Point&gt;
				&lt;gx:drawOrder&gt;1&lt;/gx:drawOrder&gt;
				&lt;coordinates&gt;-42.68536397762744,-5.135064034323032,0&lt;/coordinates&gt;
			&lt;/Point&gt;
		&lt;/Placemark&gt;
		&lt;Placemark&gt;
			&lt;name&gt;RUA 02 - RUA ANA MARIA DOS SANTOS MARTINS FINAL&lt;/name&gt;
			&lt;LookAt&gt;
				&lt;longitude&gt;-42.68580419183681&lt;/longitude&gt;
				&lt;latitude&gt;-5.133923993105205&lt;/latitude&gt;
				&lt;altitude&gt;0&lt;/altitude&gt;
				&lt;heading&gt;6.116121286664377&lt;/heading&gt;
				&lt;tilt&gt;21.632679517224&lt;/tilt&gt;
				&lt;range&gt;95.83760671563462&lt;/range&gt;
				&lt;gx:altitudeMode&gt;relativeToSeaFloor&lt;/gx:altitudeMode&gt;
			&lt;/LookAt&gt;
			&lt;styleUrl&gt;#msn_red-circle011&lt;/styleUrl&gt;
			&lt;Point&gt;
				&lt;gx:drawOrder&gt;1&lt;/gx:drawOrder&gt;
				&lt;coordinates&gt;-42.68565813488388,-5.13384450376417,0&lt;/coordinates&gt;
			&lt;/Point&gt;
		&lt;/Placemark&gt;
		&lt;Placemark&gt;
			&lt;name&gt;RUA 02 - RUA ANA MARIA DOS SANTOS MARTINS 140,00 X 6,00 m&lt;/name&gt;
			&lt;styleUrl&gt;#msn_ylw-pushpin70&lt;/styleUrl&gt;
			&lt;LineString&gt;
				&lt;tessellate&gt;1&lt;/tessellate&gt;
				&lt;coordinates&gt;
					-42.68536231586685,-5.13507065949748,0 -42.68565678709543,-5.133841205875147,0 
				&lt;/coordinates&gt;
			&lt;/LineString&gt;
		&lt;/Placemark&gt;
		&lt;atom:link rel="app" href="https://www.google.com/earth/about/versions/#earth-pro" title="Google Earth Pro 7.3.6.10201"&gt;&lt;/atom:link&gt;
	&lt;/Folder&gt;
&lt;/Document&gt;
&lt;/kml&gt;</t>
  </si>
  <si>
    <t>PAVIMENTAÇÃO EM PARALELEPÍPEDO COM ÁREA DE 24.804,00 M², NO MUNICÍPIO DE TERESINA – PI. CONT. 49/2024 - RENATA</t>
  </si>
  <si>
    <t>ANGELIM,BRASILAR</t>
  </si>
  <si>
    <t>&lt;?xml version="1.0" encoding="UTF-8"?&gt;
&lt;kml xmlns="http://www.opengis.net/kml/2.2" xmlns:gx="http://www.google.com/kml/ext/2.2" xmlns:kml="http://www.opengis.net/kml/2.2" xmlns:atom="http://www.w3.org/2005/Atom"&gt;
&lt;Document&gt;
	&lt;name&gt;12609 - 49.2024.kmz&lt;/name&gt;
	&lt;StyleMap id="m_ylw-pushpin0100"&gt;
		&lt;Pair&gt;
			&lt;key&gt;normal&lt;/key&gt;
			&lt;styleUrl&gt;#s_ylw-pushpin21&lt;/styleUrl&gt;
		&lt;/Pair&gt;
		&lt;Pair&gt;
			&lt;key&gt;highlight&lt;/key&gt;
			&lt;styleUrl&gt;#s_ylw-pushpin_hl01000&lt;/styleUrl&gt;
		&lt;/Pair&gt;
	&lt;/StyleMap&gt;
	&lt;StyleMap id="m_ylw-pushpin40"&gt;
		&lt;Pair&gt;
			&lt;key&gt;normal&lt;/key&gt;
			&lt;styleUrl&gt;#s_ylw-pushpin0100&lt;/styleUrl&gt;
		&lt;/Pair&gt;
		&lt;Pair&gt;
			&lt;key&gt;highlight&lt;/key&gt;
			&lt;styleUrl&gt;#s_ylw-pushpin_hl400&lt;/styleUrl&gt;
		&lt;/Pair&gt;
	&lt;/StyleMap&gt;
	&lt;StyleMap id="m_ylw-pushpin6"&gt;
		&lt;Pair&gt;
			&lt;key&gt;normal&lt;/key&gt;
			&lt;styleUrl&gt;#s_ylw-pushpin300&lt;/styleUrl&gt;
		&lt;/Pair&gt;
		&lt;Pair&gt;
			&lt;key&gt;highlight&lt;/key&gt;
			&lt;styleUrl&gt;#s_ylw-pushpin_hl11&lt;/styleUrl&gt;
		&lt;/Pair&gt;
	&lt;/StyleMap&gt;
	&lt;StyleMap id="msn_ylw-pushpin00"&gt;
		&lt;Pair&gt;
			&lt;key&gt;normal&lt;/key&gt;
			&lt;styleUrl&gt;#sn_ylw-pushpin22&lt;/styleUrl&gt;
		&lt;/Pair&gt;
		&lt;Pair&gt;
			&lt;key&gt;highlight&lt;/key&gt;
			&lt;styleUrl&gt;#sh_ylw-pushpin24&lt;/styleUrl&gt;
		&lt;/Pair&gt;
	&lt;/StyleMap&gt;
	&lt;StyleMap id="msn_ylw-pushpin10"&gt;
		&lt;Pair&gt;
			&lt;key&gt;normal&lt;/key&gt;
			&lt;styleUrl&gt;#sn_ylw-pushpin18&lt;/styleUrl&gt;
		&lt;/Pair&gt;
		&lt;Pair&gt;
			&lt;key&gt;highlight&lt;/key&gt;
			&lt;styleUrl&gt;#sh_ylw-pushpin12&lt;/styleUrl&gt;
		&lt;/Pair&gt;
	&lt;/StyleMap&gt;
	&lt;StyleMap id="msn_ylw-pushpin11"&gt;
		&lt;Pair&gt;
			&lt;key&gt;normal&lt;/key&gt;
			&lt;styleUrl&gt;#sn_ylw-pushpin19&lt;/styleUrl&gt;
		&lt;/Pair&gt;
		&lt;Pair&gt;
			&lt;key&gt;highlight&lt;/key&gt;
			&lt;styleUrl&gt;#sh_ylw-pushpin25&lt;/styleUrl&gt;
		&lt;/Pair&gt;
	&lt;/StyleMap&gt;
	&lt;StyleMap id="msn_ylw-pushpin12"&gt;
		&lt;Pair&gt;
			&lt;key&gt;normal&lt;/key&gt;
			&lt;styleUrl&gt;#sn_ylw-pushpin13&lt;/styleUrl&gt;
		&lt;/Pair&gt;
		&lt;Pair&gt;
			&lt;key&gt;highlight&lt;/key&gt;
			&lt;styleUrl&gt;#sh_ylw-pushpin11&lt;/styleUrl&gt;
		&lt;/Pair&gt;
	&lt;/StyleMap&gt;
	&lt;StyleMap id="msn_ylw-pushpin13"&gt;
		&lt;Pair&gt;
			&lt;key&gt;normal&lt;/key&gt;
			&lt;styleUrl&gt;#sn_ylw-pushpin20&lt;/styleUrl&gt;
		&lt;/Pair&gt;
		&lt;Pair&gt;
			&lt;key&gt;highlight&lt;/key&gt;
			&lt;styleUrl&gt;#sh_ylw-pushpin23&lt;/styleUrl&gt;
		&lt;/Pair&gt;
	&lt;/StyleMap&gt;
	&lt;StyleMap id="msn_ylw-pushpin15"&gt;
		&lt;Pair&gt;
			&lt;key&gt;normal&lt;/key&gt;
			&lt;styleUrl&gt;#sn_ylw-pushpin8&lt;/styleUrl&gt;
		&lt;/Pair&gt;
		&lt;Pair&gt;
			&lt;key&gt;highlight&lt;/key&gt;
			&lt;styleUrl&gt;#sh_ylw-pushpin18&lt;/styleUrl&gt;
		&lt;/Pair&gt;
	&lt;/StyleMap&gt;
	&lt;StyleMap id="msn_ylw-pushpin16"&gt;
		&lt;Pair&gt;
			&lt;key&gt;normal&lt;/key&gt;
			&lt;styleUrl&gt;#sn_ylw-pushpin9&lt;/styleUrl&gt;
		&lt;/Pair&gt;
		&lt;Pair&gt;
			&lt;key&gt;highlight&lt;/key&gt;
			&lt;styleUrl&gt;#sh_ylw-pushpin17&lt;/styleUrl&gt;
		&lt;/Pair&gt;
	&lt;/StyleMap&gt;
	&lt;StyleMap id="msn_ylw-pushpin17"&gt;
		&lt;Pair&gt;
			&lt;key&gt;normal&lt;/key&gt;
			&lt;styleUrl&gt;#sn_ylw-pushpin6&lt;/styleUrl&gt;
		&lt;/Pair&gt;
		&lt;Pair&gt;
			&lt;key&gt;highlight&lt;/key&gt;
			&lt;styleUrl&gt;#sh_ylw-pushpin4&lt;/styleUrl&gt;
		&lt;/Pair&gt;
	&lt;/StyleMap&gt;
	&lt;StyleMap id="msn_ylw-pushpin18"&gt;
		&lt;Pair&gt;
			&lt;key&gt;normal&lt;/key&gt;
			&lt;styleUrl&gt;#sn_ylw-pushpin5&lt;/styleUrl&gt;
		&lt;/Pair&gt;
		&lt;Pair&gt;
			&lt;key&gt;highlight&lt;/key&gt;
			&lt;styleUrl&gt;#sh_ylw-pushpin6&lt;/styleUrl&gt;
		&lt;/Pair&gt;
	&lt;/StyleMap&gt;
	&lt;StyleMap id="msn_ylw-pushpin19"&gt;
		&lt;Pair&gt;
			&lt;key&gt;normal&lt;/key&gt;
			&lt;styleUrl&gt;#sn_ylw-pushpin25&lt;/styleUrl&gt;
		&lt;/Pair&gt;
		&lt;Pair&gt;
			&lt;key&gt;highlight&lt;/key&gt;
			&lt;styleUrl&gt;#sh_ylw-pushpin7&lt;/styleUrl&gt;
		&lt;/Pair&gt;
	&lt;/StyleMap&gt;
	&lt;StyleMap id="msn_ylw-pushpin21"&gt;
		&lt;Pair&gt;
			&lt;key&gt;normal&lt;/key&gt;
			&lt;styleUrl&gt;#sn_ylw-pushpin01&lt;/styleUrl&gt;
		&lt;/Pair&gt;
		&lt;Pair&gt;
			&lt;key&gt;highlight&lt;/key&gt;
			&lt;styleUrl&gt;#sh_ylw-pushpin20&lt;/styleUrl&gt;
		&lt;/Pair&gt;
	&lt;/StyleMap&gt;
	&lt;StyleMap id="msn_ylw-pushpin211"&gt;
		&lt;Pair&gt;
			&lt;key&gt;normal&lt;/key&gt;
			&lt;styleUrl&gt;#sn_ylw-pushpin14&lt;/styleUrl&gt;
		&lt;/Pair&gt;
		&lt;Pair&gt;
			&lt;key&gt;highlight&lt;/key&gt;
			&lt;styleUrl&gt;#sh_ylw-pushpin13&lt;/styleUrl&gt;
		&lt;/Pair&gt;
	&lt;/StyleMap&gt;
	&lt;StyleMap id="msn_ylw-pushpin22"&gt;
		&lt;Pair&gt;
			&lt;key&gt;normal&lt;/key&gt;
			&lt;styleUrl&gt;#sn_ylw-pushpin16&lt;/styleUrl&gt;
		&lt;/Pair&gt;
		&lt;Pair&gt;
			&lt;key&gt;highlight&lt;/key&gt;
			&lt;styleUrl&gt;#sh_ylw-pushpin22&lt;/styleUrl&gt;
		&lt;/Pair&gt;
	&lt;/StyleMap&gt;
	&lt;StyleMap id="msn_ylw-pushpin23"&gt;
		&lt;Pair&gt;
			&lt;key&gt;normal&lt;/key&gt;
			&lt;styleUrl&gt;#sn_ylw-pushpin3&lt;/styleUrl&gt;
		&lt;/Pair&gt;
		&lt;Pair&gt;
			&lt;key&gt;highlight&lt;/key&gt;
			&lt;styleUrl&gt;#sh_ylw-pushpin19&lt;/styleUrl&gt;
		&lt;/Pair&gt;
	&lt;/StyleMap&gt;
	&lt;StyleMap id="msn_ylw-pushpin24"&gt;
		&lt;Pair&gt;
			&lt;key&gt;normal&lt;/key&gt;
			&lt;styleUrl&gt;#sn_ylw-pushpin17&lt;/styleUrl&gt;
		&lt;/Pair&gt;
		&lt;Pair&gt;
			&lt;key&gt;highlight&lt;/key&gt;
			&lt;styleUrl&gt;#sh_ylw-pushpin00&lt;/styleUrl&gt;
		&lt;/Pair&gt;
	&lt;/StyleMap&gt;
	&lt;StyleMap id="msn_ylw-pushpin25"&gt;
		&lt;Pair&gt;
			&lt;key&gt;normal&lt;/key&gt;
			&lt;styleUrl&gt;#sn_ylw-pushpin10&lt;/styleUrl&gt;
		&lt;/Pair&gt;
		&lt;Pair&gt;
			&lt;key&gt;highlight&lt;/key&gt;
			&lt;styleUrl&gt;#sh_ylw-pushpin002&lt;/styleUrl&gt;
		&lt;/Pair&gt;
	&lt;/StyleMap&gt;
	&lt;StyleMap id="msn_ylw-pushpin26"&gt;
		&lt;Pair&gt;
			&lt;key&gt;normal&lt;/key&gt;
			&lt;styleUrl&gt;#sn_ylw-pushpin23&lt;/styleUrl&gt;
		&lt;/Pair&gt;
		&lt;Pair&gt;
			&lt;key&gt;highlight&lt;/key&gt;
			&lt;styleUrl&gt;#sh_ylw-pushpin9&lt;/styleUrl&gt;
		&lt;/Pair&gt;
	&lt;/StyleMap&gt;
	&lt;StyleMap id="msn_ylw-pushpin4"&gt;
		&lt;Pair&gt;
			&lt;key&gt;normal&lt;/key&gt;
			&lt;styleUrl&gt;#sn_ylw-pushpin21&lt;/styleUrl&gt;
		&lt;/Pair&gt;
		&lt;Pair&gt;
			&lt;key&gt;highlight&lt;/key&gt;
			&lt;styleUrl&gt;#sh_ylw-pushpin16&lt;/styleUrl&gt;
		&lt;/Pair&gt;
	&lt;/StyleMap&gt;
	&lt;StyleMap id="msn_ylw-pushpin5"&gt;
		&lt;Pair&gt;
			&lt;key&gt;normal&lt;/key&gt;
			&lt;styleUrl&gt;#sn_ylw-pushpin24&lt;/styleUrl&gt;
		&lt;/Pair&gt;
		&lt;Pair&gt;
			&lt;key&gt;highlight&lt;/key&gt;
			&lt;styleUrl&gt;#sh_ylw-pushpin14&lt;/styleUrl&gt;
		&lt;/Pair&gt;
	&lt;/StyleMap&gt;
	&lt;StyleMap id="msn_ylw-pushpin6"&gt;
		&lt;Pair&gt;
			&lt;key&gt;normal&lt;/key&gt;
			&lt;styleUrl&gt;#sn_ylw-pushpin4&lt;/styleUrl&gt;
		&lt;/Pair&gt;
		&lt;Pair&gt;
			&lt;key&gt;highlight&lt;/key&gt;
			&lt;styleUrl&gt;#sh_ylw-pushpin30&lt;/styleUrl&gt;
		&lt;/Pair&gt;
	&lt;/StyleMap&gt;
	&lt;StyleMap id="msn_ylw-pushpin7"&gt;
		&lt;Pair&gt;
			&lt;key&gt;normal&lt;/key&gt;
			&lt;styleUrl&gt;#sn_ylw-pushpin11&lt;/styleUrl&gt;
		&lt;/Pair&gt;
		&lt;Pair&gt;
			&lt;key&gt;highlight&lt;/key&gt;
			&lt;styleUrl&gt;#sh_ylw-pushpin5&lt;/styleUrl&gt;
		&lt;/Pair&gt;
	&lt;/StyleMap&gt;
	&lt;StyleMap id="msn_ylw-pushpin8"&gt;
		&lt;Pair&gt;
			&lt;key&gt;normal&lt;/key&gt;
			&lt;styleUrl&gt;#sn_ylw-pushpin15&lt;/styleUrl&gt;
		&lt;/Pair&gt;
		&lt;Pair&gt;
			&lt;key&gt;highlight&lt;/key&gt;
			&lt;styleUrl&gt;#sh_ylw-pushpin10&lt;/styleUrl&gt;
		&lt;/Pair&gt;
	&lt;/StyleMap&gt;
	&lt;StyleMap id="msn_ylw-pushpin9"&gt;
		&lt;Pair&gt;
			&lt;key&gt;normal&lt;/key&gt;
			&lt;styleUrl&gt;#sn_ylw-pushpin12&lt;/styleUrl&gt;
		&lt;/Pair&gt;
		&lt;Pair&gt;
			&lt;key&gt;highlight&lt;/key&gt;
			&lt;styleUrl&gt;#sh_ylw-pushpin101&lt;/styleUrl&gt;
		&lt;/Pair&gt;
	&lt;/StyleMap&gt;
	&lt;Style id="s_ylw-pushpin0100"&gt;
		&lt;IconStyle&gt;
			&lt;scale&gt;1.1&lt;/scale&gt;
			&lt;Icon&gt;
				&lt;href&gt;http://maps.google.com/mapfiles/kml/pushpin/ylw-pushpin.png&lt;/href&gt;
			&lt;/Icon&gt;
			&lt;hotSpot x="20" y="2" xunits="pixels" yunits="pixels"/&gt;
		&lt;/IconStyle&gt;
	&lt;/Style&gt;
	&lt;Style id="s_ylw-pushpin21"&gt;
		&lt;IconStyle&gt;
			&lt;scale&gt;1.1&lt;/scale&gt;
			&lt;Icon&gt;
				&lt;href&gt;http://maps.google.com/mapfiles/kml/pushpin/ylw-pushpin.png&lt;/href&gt;
			&lt;/Icon&gt;
			&lt;hotSpot x="20" y="2" xunits="pixels" yunits="pixels"/&gt;
		&lt;/IconStyle&gt;
		&lt;LineStyle&gt;
			&lt;width&gt;6&lt;/width&gt;
		&lt;/LineStyle&gt;
	&lt;/Style&gt;
	&lt;Style id="s_ylw-pushpin300"&gt;
		&lt;IconStyle&gt;
			&lt;scale&gt;1.1&lt;/scale&gt;
			&lt;Icon&gt;
				&lt;href&gt;http://maps.google.com/mapfiles/kml/paddle/red-circle.png&lt;/href&gt;
			&lt;/Icon&gt;
			&lt;hotSpot x="32" y="1" xunits="pixels" yunits="pixels"/&gt;
		&lt;/IconStyle&gt;
		&lt;ListStyle&gt;
			&lt;ItemIcon&gt;
				&lt;href&gt;http://maps.google.com/mapfiles/kml/paddle/red-circle-lv.png&lt;/href&gt;
			&lt;/ItemIcon&gt;
		&lt;/ListStyle&gt;
	&lt;/Style&gt;
	&lt;Style id="s_ylw-pushpin_hl01000"&gt;
		&lt;IconStyle&gt;
			&lt;scale&gt;1.3&lt;/scale&gt;
			&lt;Icon&gt;
				&lt;href&gt;http://maps.google.com/mapfiles/kml/pushpin/ylw-pushpin.png&lt;/href&gt;
			&lt;/Icon&gt;
			&lt;hotSpot x="20" y="2" xunits="pixels" yunits="pixels"/&gt;
		&lt;/IconStyle&gt;
		&lt;LineStyle&gt;
			&lt;width&gt;6&lt;/width&gt;
		&lt;/LineStyle&gt;
	&lt;/Style&gt;
	&lt;Style id="s_ylw-pushpin_hl11"&gt;
		&lt;IconStyle&gt;
			&lt;scale&gt;1.3&lt;/scale&gt;
			&lt;Icon&gt;
				&lt;href&gt;http://maps.google.com/mapfiles/kml/paddle/red-circle.png&lt;/href&gt;
			&lt;/Icon&gt;
			&lt;hotSpot x="32" y="1" xunits="pixels" yunits="pixels"/&gt;
		&lt;/IconStyle&gt;
		&lt;ListStyle&gt;
			&lt;ItemIcon&gt;
				&lt;href&gt;http://maps.google.com/mapfiles/kml/paddle/red-circle-lv.png&lt;/href&gt;
			&lt;/ItemIcon&gt;
		&lt;/ListStyle&gt;
	&lt;/Style&gt;
	&lt;Style id="s_ylw-pushpin_hl400"&gt;
		&lt;IconStyle&gt;
			&lt;scale&gt;1.3&lt;/scale&gt;
			&lt;Icon&gt;
				&lt;href&gt;http://maps.google.com/mapfiles/kml/pushpin/ylw-pushpin.png&lt;/href&gt;
			&lt;/Icon&gt;
			&lt;hotSpot x="20" y="2" xunits="pixels" yunits="pixels"/&gt;
		&lt;/IconStyle&gt;
	&lt;/Style&gt;
	&lt;Style id="sh_ylw-pushpin00"&gt;
		&lt;IconStyle&gt;
			&lt;scale&gt;1.3&lt;/scale&gt;
			&lt;Icon&gt;
				&lt;href&gt;http://maps.google.com/mapfiles/kml/pushpin/ylw-pushpin.png&lt;/href&gt;
			&lt;/Icon&gt;
			&lt;hotSpot x="20" y="2" xunits="pixels" yunits="pixels"/&gt;
		&lt;/IconStyle&gt;
		&lt;LineStyle&gt;
			&lt;color&gt;ff7fff00&lt;/color&gt;
			&lt;width&gt;7&lt;/width&gt;
		&lt;/LineStyle&gt;
	&lt;/Style&gt;
	&lt;Style id="sh_ylw-pushpin002"&gt;
		&lt;IconStyle&gt;
			&lt;scale&gt;1.3&lt;/scale&gt;
			&lt;Icon&gt;
				&lt;href&gt;http://maps.google.com/mapfiles/kml/pushpin/ylw-pushpin.png&lt;/href&gt;
			&lt;/Icon&gt;
			&lt;hotSpot x="20" y="2" xunits="pixels" yunits="pixels"/&gt;
		&lt;/IconStyle&gt;
		&lt;LineStyle&gt;
			&lt;color&gt;ff005555&lt;/color&gt;
			&lt;width&gt;6&lt;/width&gt;
		&lt;/LineStyle&gt;
	&lt;/Style&gt;
	&lt;Style id="sh_ylw-pushpin10"&gt;
		&lt;IconStyle&gt;
			&lt;scale&gt;1.3&lt;/scale&gt;
			&lt;Icon&gt;
				&lt;href&gt;http://maps.google.com/mapfiles/kml/pushpin/ylw-pushpin.png&lt;/href&gt;
			&lt;/Icon&gt;
			&lt;hotSpot x="20" y="2" xunits="pixels" yunits="pixels"/&gt;
		&lt;/IconStyle&gt;
		&lt;LineStyle&gt;
			&lt;color&gt;ff0055aa&lt;/color&gt;
			&lt;width&gt;6&lt;/width&gt;
		&lt;/LineStyle&gt;
	&lt;/Style&gt;
	&lt;Style id="sh_ylw-pushpin101"&gt;
		&lt;IconStyle&gt;
			&lt;scale&gt;1.3&lt;/scale&gt;
			&lt;Icon&gt;
				&lt;href&gt;http://maps.google.com/mapfiles/kml/pushpin/ylw-pushpin.png&lt;/href&gt;
			&lt;/Icon&gt;
			&lt;hotSpot x="20" y="2" xunits="pixels" yunits="pixels"/&gt;
		&lt;/IconStyle&gt;
		&lt;LineStyle&gt;
			&lt;color&gt;ffffdc7c&lt;/color&gt;
			&lt;width&gt;6&lt;/width&gt;
		&lt;/LineStyle&gt;
	&lt;/Style&gt;
	&lt;Style id="sh_ylw-pushpin11"&gt;
		&lt;IconStyle&gt;
			&lt;scale&gt;1.3&lt;/scale&gt;
			&lt;Icon&gt;
				&lt;href&gt;http://maps.google.com/mapfiles/kml/pushpin/ylw-pushpin.png&lt;/href&gt;
			&lt;/Icon&gt;
			&lt;hotSpot x="20" y="2" xunits="pixels" yunits="pixels"/&gt;
		&lt;/IconStyle&gt;
		&lt;LineStyle&gt;
			&lt;color&gt;ff000090&lt;/color&gt;
			&lt;width&gt;6&lt;/width&gt;
		&lt;/LineStyle&gt;
	&lt;/Style&gt;
	&lt;Style id="sh_ylw-pushpin12"&gt;
		&lt;IconStyle&gt;
			&lt;scale&gt;1.3&lt;/scale&gt;
			&lt;Icon&gt;
				&lt;href&gt;http://maps.google.com/mapfiles/kml/pushpin/ylw-pushpin.png&lt;/href&gt;
			&lt;/Icon&gt;
			&lt;hotSpot x="20" y="2" xunits="pixels" yunits="pixels"/&gt;
		&lt;/IconStyle&gt;
		&lt;LineStyle&gt;
			&lt;color&gt;ff0055ff&lt;/color&gt;
			&lt;width&gt;7&lt;/width&gt;
		&lt;/LineStyle&gt;
	&lt;/Style&gt;
	&lt;Style id="sh_ylw-pushpin13"&gt;
		&lt;IconStyle&gt;
			&lt;scale&gt;1.3&lt;/scale&gt;
			&lt;Icon&gt;
				&lt;href&gt;http://maps.google.com/mapfiles/kml/pushpin/ylw-pushpin.png&lt;/href&gt;
			&lt;/Icon&gt;
			&lt;hotSpot x="20" y="2" xunits="pixels" yunits="pixels"/&gt;
		&lt;/IconStyle&gt;
		&lt;LineStyle&gt;
			&lt;color&gt;ff00aaaa&lt;/color&gt;
			&lt;width&gt;7&lt;/width&gt;
		&lt;/LineStyle&gt;
	&lt;/Style&gt;
	&lt;Style id="sh_ylw-pushpin14"&gt;
		&lt;IconStyle&gt;
			&lt;scale&gt;1.3&lt;/scale&gt;
			&lt;Icon&gt;
				&lt;href&gt;http://maps.google.com/mapfiles/kml/pushpin/ylw-pushpin.png&lt;/href&gt;
			&lt;/Icon&gt;
			&lt;hotSpot x="20" y="2" xunits="pixels" yunits="pixels"/&gt;
		&lt;/IconStyle&gt;
		&lt;LineStyle&gt;
			&lt;color&gt;ffff55ff&lt;/color&gt;
			&lt;width&gt;6&lt;/width&gt;
		&lt;/LineStyle&gt;
	&lt;/Style&gt;
	&lt;Style id="sh_ylw-pushpin16"&gt;
		&lt;IconStyle&gt;
			&lt;scale&gt;1.3&lt;/scale&gt;
			&lt;Icon&gt;
				&lt;href&gt;http://maps.google.com/mapfiles/kml/pushpin/ylw-pushpin.png&lt;/href&gt;
			&lt;/Icon&gt;
			&lt;hotSpot x="20" y="2" xunits="pixels" yunits="pixels"/&gt;
		&lt;/IconStyle&gt;
		&lt;LineStyle&gt;
			&lt;color&gt;ffffaaaa&lt;/color&gt;
			&lt;width&gt;6&lt;/width&gt;
		&lt;/LineStyle&gt;
	&lt;/Style&gt;
	&lt;Style id="sh_ylw-pushpin17"&gt;
		&lt;IconStyle&gt;
			&lt;scale&gt;1.3&lt;/scale&gt;
			&lt;Icon&gt;
				&lt;href&gt;http://maps.google.com/mapfiles/kml/pushpin/ylw-pushpin.png&lt;/href&gt;
			&lt;/Icon&gt;
			&lt;hotSpot x="20" y="2" xunits="pixels" yunits="pixels"/&gt;
		&lt;/IconStyle&gt;
		&lt;LineStyle&gt;
			&lt;color&gt;ff000055&lt;/color&gt;
			&lt;width&gt;6&lt;/width&gt;
		&lt;/LineStyle&gt;
	&lt;/Style&gt;
	&lt;Style id="sh_ylw-pushpin18"&gt;
		&lt;IconStyle&gt;
			&lt;scale&gt;1.3&lt;/scale&gt;
			&lt;Icon&gt;
				&lt;href&gt;http://maps.google.com/mapfiles/kml/pushpin/ylw-pushpin.png&lt;/href&gt;
			&lt;/Icon&gt;
			&lt;hotSpot x="20" y="2" xunits="pixels" yunits="pixels"/&gt;
		&lt;/IconStyle&gt;
		&lt;LineStyle&gt;
			&lt;color&gt;ff7fffaa&lt;/color&gt;
			&lt;width&gt;6&lt;/width&gt;
		&lt;/LineStyle&gt;
	&lt;/Style&gt;
	&lt;Style id="sh_ylw-pushpin19"&gt;
		&lt;IconStyle&gt;
			&lt;scale&gt;1.3&lt;/scale&gt;
			&lt;Icon&gt;
				&lt;href&gt;http://maps.google.com/mapfiles/kml/pushpin/ylw-pushpin.png&lt;/href&gt;
			&lt;/Icon&gt;
			&lt;hotSpot x="20" y="2" xunits="pixels" yunits="pixels"/&gt;
		&lt;/IconStyle&gt;
		&lt;LineStyle&gt;
			&lt;color&gt;ff6600cc&lt;/color&gt;
			&lt;width&gt;6&lt;/width&gt;
		&lt;/LineStyle&gt;
	&lt;/Style&gt;
	&lt;Style id="sh_ylw-pushpin20"&gt;
		&lt;IconStyle&gt;
			&lt;scale&gt;1.3&lt;/scale&gt;
			&lt;Icon&gt;
				&lt;href&gt;http://maps.google.com/mapfiles/kml/pushpin/ylw-pushpin.png&lt;/href&gt;
			&lt;/Icon&gt;
			&lt;hotSpot x="20" y="2" xunits="pixels" yunits="pixels"/&gt;
		&lt;/IconStyle&gt;
		&lt;LineStyle&gt;
			&lt;color&gt;ffff00ff&lt;/color&gt;
			&lt;width&gt;6&lt;/width&gt;
		&lt;/LineStyle&gt;
	&lt;/Style&gt;
	&lt;Style id="sh_ylw-pushpin22"&gt;
		&lt;IconStyle&gt;
			&lt;scale&gt;1.3&lt;/scale&gt;
			&lt;Icon&gt;
				&lt;href&gt;http://maps.google.com/mapfiles/kml/pushpin/ylw-pushpin.png&lt;/href&gt;
			&lt;/Icon&gt;
			&lt;hotSpot x="20" y="2" xunits="pixels" yunits="pixels"/&gt;
		&lt;/IconStyle&gt;
		&lt;LineStyle&gt;
			&lt;color&gt;ff8d5e00&lt;/color&gt;
			&lt;width&gt;6&lt;/width&gt;
		&lt;/LineStyle&gt;
	&lt;/Style&gt;
	&lt;Style id="sh_ylw-pushpin23"&gt;
		&lt;IconStyle&gt;
			&lt;scale&gt;1.3&lt;/scale&gt;
			&lt;Icon&gt;
				&lt;href&gt;http://maps.google.com/mapfiles/kml/pushpin/ylw-pushpin.png&lt;/href&gt;
			&lt;/Icon&gt;
			&lt;hotSpot x="20" y="2" xunits="pixels" yunits="pixels"/&gt;
		&lt;/IconStyle&gt;
		&lt;LineStyle&gt;
			&lt;color&gt;ff7f55aa&lt;/color&gt;
			&lt;width&gt;6&lt;/width&gt;
		&lt;/LineStyle&gt;
	&lt;/Style&gt;
	&lt;Style id="sh_ylw-pushpin24"&gt;
		&lt;IconStyle&gt;
			&lt;scale&gt;1.3&lt;/scale&gt;
			&lt;Icon&gt;
				&lt;href&gt;http://maps.google.com/mapfiles/kml/pushpin/ylw-pushpin.png&lt;/href&gt;
			&lt;/Icon&gt;
			&lt;hotSpot x="20" y="2" xunits="pixels" yunits="pixels"/&gt;
		&lt;/IconStyle&gt;
		&lt;LineStyle&gt;
			&lt;color&gt;ff00ffaa&lt;/color&gt;
			&lt;width&gt;6&lt;/width&gt;
		&lt;/LineStyle&gt;
	&lt;/Style&gt;
	&lt;Style id="sh_ylw-pushpin25"&gt;
		&lt;IconStyle&gt;
			&lt;scale&gt;1.3&lt;/scale&gt;
			&lt;Icon&gt;
				&lt;href&gt;http://maps.google.com/mapfiles/kml/pushpin/ylw-pushpin.png&lt;/href&gt;
			&lt;/Icon&gt;
			&lt;hotSpot x="20" y="2" xunits="pixels" yunits="pixels"/&gt;
		&lt;/IconStyle&gt;
		&lt;LineStyle&gt;
			&lt;color&gt;ff00aa00&lt;/color&gt;
			&lt;width&gt;6&lt;/width&gt;
		&lt;/LineStyle&gt;
	&lt;/Style&gt;
	&lt;Style id="sh_ylw-pushpin30"&gt;
		&lt;IconStyle&gt;
			&lt;scale&gt;1.3&lt;/scale&gt;
			&lt;Icon&gt;
				&lt;href&gt;http://maps.google.com/mapfiles/kml/pushpin/ylw-pushpin.png&lt;/href&gt;
			&lt;/Icon&gt;
			&lt;hotSpot x="20" y="2" xunits="pixels" yunits="pixels"/&gt;
		&lt;/IconStyle&gt;
		&lt;LineStyle&gt;
			&lt;color&gt;ff7f00ff&lt;/color&gt;
			&lt;width&gt;6&lt;/width&gt;
		&lt;/LineStyle&gt;
	&lt;/Style&gt;
	&lt;Style id="sh_ylw-pushpin4"&gt;
		&lt;IconStyle&gt;
			&lt;scale&gt;1.3&lt;/scale&gt;
			&lt;Icon&gt;
				&lt;href&gt;http://maps.google.com/mapfiles/kml/pushpin/ylw-pushpin.png&lt;/href&gt;
			&lt;/Icon&gt;
			&lt;hotSpot x="20" y="2" xunits="pixels" yunits="pixels"/&gt;
		&lt;/IconStyle&gt;
		&lt;LineStyle&gt;
			&lt;color&gt;ffffaaff&lt;/color&gt;
			&lt;width&gt;6&lt;/width&gt;
		&lt;/LineStyle&gt;
	&lt;/Style&gt;
	&lt;Style id="sh_ylw-pushpin5"&gt;
		&lt;IconStyle&gt;
			&lt;scale&gt;1.3&lt;/scale&gt;
			&lt;Icon&gt;
				&lt;href&gt;http://maps.google.com/mapfiles/kml/pushpin/ylw-pushpin.png&lt;/href&gt;
			&lt;/Icon&gt;
			&lt;hotSpot x="20" y="2" xunits="pixels" yunits="pixels"/&gt;
		&lt;/IconStyle&gt;
		&lt;LineStyle&gt;
			&lt;color&gt;ff7f0055&lt;/color&gt;
			&lt;width&gt;6&lt;/width&gt;
		&lt;/LineStyle&gt;
	&lt;/Style&gt;
	&lt;Style id="sh_ylw-pushpin6"&gt;
		&lt;IconStyle&gt;
			&lt;scale&gt;1.3&lt;/scale&gt;
			&lt;Icon&gt;
				&lt;href&gt;http://maps.google.com/mapfiles/kml/pushpin/ylw-pushpin.png&lt;/href&gt;
			&lt;/Icon&gt;
			&lt;hotSpot x="20" y="2" xunits="pixels" yunits="pixels"/&gt;
		&lt;/IconStyle&gt;
		&lt;LineStyle&gt;
			&lt;color&gt;ff7f5500&lt;/color&gt;
			&lt;width&gt;6&lt;/width&gt;
		&lt;/LineStyle&gt;
	&lt;/Style&gt;
	&lt;Style id="sh_ylw-pushpin7"&gt;
		&lt;IconStyle&gt;
			&lt;scale&gt;1.3&lt;/scale&gt;
			&lt;Icon&gt;
				&lt;href&gt;http://maps.google.com/mapfiles/kml/pushpin/ylw-pushpin.png&lt;/href&gt;
			&lt;/Icon&gt;
			&lt;hotSpot x="20" y="2" xunits="pixels" yunits="pixels"/&gt;
		&lt;/IconStyle&gt;
		&lt;LineStyle&gt;
			&lt;color&gt;ffff0000&lt;/color&gt;
			&lt;width&gt;6&lt;/width&gt;
		&lt;/LineStyle&gt;
	&lt;/Style&gt;
	&lt;Style id="sh_ylw-pushpin9"&gt;
		&lt;IconStyle&gt;
			&lt;scale&gt;1.3&lt;/scale&gt;
			&lt;Icon&gt;
				&lt;href&gt;http://maps.google.com/mapfiles/kml/pushpin/ylw-pushpin.png&lt;/href&gt;
			&lt;/Icon&gt;
			&lt;hotSpot x="20" y="2" xunits="pixels" yunits="pixels"/&gt;
		&lt;/IconStyle&gt;
		&lt;LineStyle&gt;
			&lt;color&gt;ff41002b&lt;/color&gt;
			&lt;width&gt;6&lt;/width&gt;
		&lt;/LineStyle&gt;
	&lt;/Style&gt;
	&lt;Style id="sn_ylw-pushpin01"&gt;
		&lt;IconStyle&gt;
			&lt;scale&gt;1.1&lt;/scale&gt;
			&lt;Icon&gt;
				&lt;href&gt;http://maps.google.com/mapfiles/kml/pushpin/ylw-pushpin.png&lt;/href&gt;
			&lt;/Icon&gt;
			&lt;hotSpot x="20" y="2" xunits="pixels" yunits="pixels"/&gt;
		&lt;/IconStyle&gt;
		&lt;LineStyle&gt;
			&lt;color&gt;ffff00ff&lt;/color&gt;
			&lt;width&gt;6&lt;/width&gt;
		&lt;/LineStyle&gt;
	&lt;/Style&gt;
	&lt;Style id="sn_ylw-pushpin10"&gt;
		&lt;IconStyle&gt;
			&lt;scale&gt;1.1&lt;/scale&gt;
			&lt;Icon&gt;
				&lt;href&gt;http://maps.google.com/mapfiles/kml/pushpin/ylw-pushpin.png&lt;/href&gt;
			&lt;/Icon&gt;
			&lt;hotSpot x="20" y="2" xunits="pixels" yunits="pixels"/&gt;
		&lt;/IconStyle&gt;
		&lt;LineStyle&gt;
			&lt;color&gt;ff005555&lt;/color&gt;
			&lt;width&gt;6&lt;/width&gt;
		&lt;/LineStyle&gt;
	&lt;/Style&gt;
	&lt;Style id="sn_ylw-pushpin11"&gt;
		&lt;IconStyle&gt;
			&lt;scale&gt;1.1&lt;/scale&gt;
			&lt;Icon&gt;
				&lt;href&gt;http://maps.google.com/mapfiles/kml/pushpin/ylw-pushpin.png&lt;/href&gt;
			&lt;/Icon&gt;
			&lt;hotSpot x="20" y="2" xunits="pixels" yunits="pixels"/&gt;
		&lt;/IconStyle&gt;
		&lt;LineStyle&gt;
			&lt;color&gt;ff7f0055&lt;/color&gt;
			&lt;width&gt;6&lt;/width&gt;
		&lt;/LineStyle&gt;
	&lt;/Style&gt;
	&lt;Style id="sn_ylw-pushpin12"&gt;
		&lt;IconStyle&gt;
			&lt;scale&gt;1.1&lt;/scale&gt;
			&lt;Icon&gt;
				&lt;href&gt;http://maps.google.com/mapfiles/kml/pushpin/ylw-pushpin.png&lt;/href&gt;
			&lt;/Icon&gt;
			&lt;hotSpot x="20" y="2" xunits="pixels" yunits="pixels"/&gt;
		&lt;/IconStyle&gt;
		&lt;LineStyle&gt;
			&lt;color&gt;ffffdc7c&lt;/color&gt;
			&lt;width&gt;6&lt;/width&gt;
		&lt;/LineStyle&gt;
	&lt;/Style&gt;
	&lt;Style id="sn_ylw-pushpin13"&gt;
		&lt;IconStyle&gt;
			&lt;scale&gt;1.1&lt;/scale&gt;
			&lt;Icon&gt;
				&lt;href&gt;http://maps.google.com/mapfiles/kml/pushpin/ylw-pushpin.png&lt;/href&gt;
			&lt;/Icon&gt;
			&lt;hotSpot x="20" y="2" xunits="pixels" yunits="pixels"/&gt;
		&lt;/IconStyle&gt;
		&lt;LineStyle&gt;
			&lt;color&gt;ff000090&lt;/color&gt;
			&lt;width&gt;6&lt;/width&gt;
		&lt;/LineStyle&gt;
	&lt;/Style&gt;
	&lt;Style id="sn_ylw-pushpin14"&gt;
		&lt;IconStyle&gt;
			&lt;scale&gt;1.1&lt;/scale&gt;
			&lt;Icon&gt;
				&lt;href&gt;http://maps.google.com/mapfiles/kml/pushpin/ylw-pushpin.png&lt;/href&gt;
			&lt;/Icon&gt;
			&lt;hotSpot x="20" y="2" xunits="pixels" yunits="pixels"/&gt;
		&lt;/IconStyle&gt;
		&lt;LineStyle&gt;
			&lt;color&gt;ff00aaaa&lt;/color&gt;
			&lt;width&gt;7&lt;/width&gt;
		&lt;/LineStyle&gt;
	&lt;/Style&gt;
	&lt;Style id="sn_ylw-pushpin15"&gt;
		&lt;IconStyle&gt;
			&lt;scale&gt;1.1&lt;/scale&gt;
			&lt;Icon&gt;
				&lt;href&gt;http://maps.google.com/mapfiles/kml/pushpin/ylw-pushpin.png&lt;/href&gt;
			&lt;/Icon&gt;
			&lt;hotSpot x="20" y="2" xunits="pixels" yunits="pixels"/&gt;
		&lt;/IconStyle&gt;
		&lt;LineStyle&gt;
			&lt;color&gt;ff0055aa&lt;/color&gt;
			&lt;width&gt;6&lt;/width&gt;
		&lt;/LineStyle&gt;
	&lt;/Style&gt;
	&lt;Style id="sn_ylw-pushpin16"&gt;
		&lt;IconStyle&gt;
			&lt;scale&gt;1.1&lt;/scale&gt;
			&lt;Icon&gt;
				&lt;href&gt;http://maps.google.com/mapfiles/kml/pushpin/ylw-pushpin.png&lt;/href&gt;
			&lt;/Icon&gt;
			&lt;hotSpot x="20" y="2" xunits="pixels" yunits="pixels"/&gt;
		&lt;/IconStyle&gt;
		&lt;LineStyle&gt;
			&lt;color&gt;ff8d5e00&lt;/color&gt;
			&lt;width&gt;6&lt;/width&gt;
		&lt;/LineStyle&gt;
	&lt;/Style&gt;
	&lt;Style id="sn_ylw-pushpin17"&gt;
		&lt;IconStyle&gt;
			&lt;scale&gt;1.1&lt;/scale&gt;
			&lt;Icon&gt;
				&lt;href&gt;http://maps.google.com/mapfiles/kml/pushpin/ylw-pushpin.png&lt;/href&gt;
			&lt;/Icon&gt;
			&lt;hotSpot x="20" y="2" xunits="pixels" yunits="pixels"/&gt;
		&lt;/IconStyle&gt;
		&lt;LineStyle&gt;
			&lt;color&gt;ff7fff00&lt;/color&gt;
			&lt;width&gt;7&lt;/width&gt;
		&lt;/LineStyle&gt;
	&lt;/Style&gt;
	&lt;Style id="sn_ylw-pushpin18"&gt;
		&lt;IconStyle&gt;
			&lt;scale&gt;1.1&lt;/scale&gt;
			&lt;Icon&gt;
				&lt;href&gt;http://maps.google.com/mapfiles/kml/pushpin/ylw-pushpin.png&lt;/href&gt;
			&lt;/Icon&gt;
			&lt;hotSpot x="20" y="2" xunits="pixels" yunits="pixels"/&gt;
		&lt;/IconStyle&gt;
		&lt;LineStyle&gt;
			&lt;color&gt;ff0055ff&lt;/color&gt;
			&lt;width&gt;7&lt;/width&gt;
		&lt;/LineStyle&gt;
	&lt;/Style&gt;
	&lt;Style id="sn_ylw-pushpin19"&gt;
		&lt;IconStyle&gt;
			&lt;scale&gt;1.1&lt;/scale&gt;
			&lt;Icon&gt;
				&lt;href&gt;http://maps.google.com/mapfiles/kml/pushpin/ylw-pushpin.png&lt;/href&gt;
			&lt;/Icon&gt;
			&lt;hotSpot x="20" y="2" xunits="pixels" yunits="pixels"/&gt;
		&lt;/IconStyle&gt;
		&lt;LineStyle&gt;
			&lt;color&gt;ff00aa00&lt;/color&gt;
			&lt;width&gt;6&lt;/width&gt;
		&lt;/LineStyle&gt;
	&lt;/Style&gt;
	&lt;Style id="sn_ylw-pushpin20"&gt;
		&lt;IconStyle&gt;
			&lt;scale&gt;1.1&lt;/scale&gt;
			&lt;Icon&gt;
				&lt;href&gt;http://maps.google.com/mapfiles/kml/pushpin/ylw-pushpin.png&lt;/href&gt;
			&lt;/Icon&gt;
			&lt;hotSpot x="20" y="2" xunits="pixels" yunits="pixels"/&gt;
		&lt;/IconStyle&gt;
		&lt;LineStyle&gt;
			&lt;color&gt;ff7f55aa&lt;/color&gt;
			&lt;width&gt;6&lt;/width&gt;
		&lt;/LineStyle&gt;
	&lt;/Style&gt;
	&lt;Style id="sn_ylw-pushpin21"&gt;
		&lt;IconStyle&gt;
			&lt;scale&gt;1.1&lt;/scale&gt;
			&lt;Icon&gt;
				&lt;href&gt;http://maps.google.com/mapfiles/kml/pushpin/ylw-pushpin.png&lt;/href&gt;
			&lt;/Icon&gt;
			&lt;hotSpot x="20" y="2" xunits="pixels" yunits="pixels"/&gt;
		&lt;/IconStyle&gt;
		&lt;LineStyle&gt;
			&lt;color&gt;ffffaaaa&lt;/color&gt;
			&lt;width&gt;6&lt;/width&gt;
		&lt;/LineStyle&gt;
	&lt;/Style&gt;
	&lt;Style id="sn_ylw-pushpin22"&gt;
		&lt;IconStyle&gt;
			&lt;scale&gt;1.1&lt;/scale&gt;
			&lt;Icon&gt;
				&lt;href&gt;http://maps.google.com/mapfiles/kml/pushpin/ylw-pushpin.png&lt;/href&gt;
			&lt;/Icon&gt;
			&lt;hotSpot x="20" y="2" xunits="pixels" yunits="pixels"/&gt;
		&lt;/IconStyle&gt;
		&lt;LineStyle&gt;
			&lt;color&gt;ff00ffaa&lt;/color&gt;
			&lt;width&gt;6&lt;/width&gt;
		&lt;/LineStyle&gt;
	&lt;/Style&gt;
	&lt;Style id="sn_ylw-pushpin23"&gt;
		&lt;IconStyle&gt;
			&lt;scale&gt;1.1&lt;/scale&gt;
			&lt;Icon&gt;
				&lt;href&gt;http://maps.google.com/mapfiles/kml/pushpin/ylw-pushpin.png&lt;/href&gt;
			&lt;/Icon&gt;
			&lt;hotSpot x="20" y="2" xunits="pixels" yunits="pixels"/&gt;
		&lt;/IconStyle&gt;
		&lt;LineStyle&gt;
			&lt;color&gt;ff41002b&lt;/color&gt;
			&lt;width&gt;6&lt;/width&gt;
		&lt;/LineStyle&gt;
	&lt;/Style&gt;
	&lt;Style id="sn_ylw-pushpin24"&gt;
		&lt;IconStyle&gt;
			&lt;scale&gt;1.1&lt;/scale&gt;
			&lt;Icon&gt;
				&lt;href&gt;http://maps.google.com/mapfiles/kml/pushpin/ylw-pushpin.png&lt;/href&gt;
			&lt;/Icon&gt;
			&lt;hotSpot x="20" y="2" xunits="pixels" yunits="pixels"/&gt;
		&lt;/IconStyle&gt;
		&lt;LineStyle&gt;
			&lt;color&gt;ffff55ff&lt;/color&gt;
			&lt;width&gt;6&lt;/width&gt;
		&lt;/LineStyle&gt;
	&lt;/Style&gt;
	&lt;Style id="sn_ylw-pushpin25"&gt;
		&lt;IconStyle&gt;
			&lt;scale&gt;1.1&lt;/scale&gt;
			&lt;Icon&gt;
				&lt;href&gt;http://maps.google.com/mapfiles/kml/pushpin/ylw-pushpin.png&lt;/href&gt;
			&lt;/Icon&gt;
			&lt;hotSpot x="20" y="2" xunits="pixels" yunits="pixels"/&gt;
		&lt;/IconStyle&gt;
		&lt;LineStyle&gt;
			&lt;color&gt;ffff0000&lt;/color&gt;
			&lt;width&gt;6&lt;/width&gt;
		&lt;/LineStyle&gt;
	&lt;/Style&gt;
	&lt;Style id="sn_ylw-pushpin3"&gt;
		&lt;IconStyle&gt;
			&lt;scale&gt;1.1&lt;/scale&gt;
			&lt;Icon&gt;
				&lt;href&gt;http://maps.google.com/mapfiles/kml/pushpin/ylw-pushpin.png&lt;/href&gt;
			&lt;/Icon&gt;
			&lt;hotSpot x="20" y="2" xunits="pixels" yunits="pixels"/&gt;
		&lt;/IconStyle&gt;
		&lt;LineStyle&gt;
			&lt;color&gt;ff6600cc&lt;/color&gt;
			&lt;width&gt;6&lt;/width&gt;
		&lt;/LineStyle&gt;
	&lt;/Style&gt;
	&lt;Style id="sn_ylw-pushpin4"&gt;
		&lt;IconStyle&gt;
			&lt;scale&gt;1.1&lt;/scale&gt;
			&lt;Icon&gt;
				&lt;href&gt;http://maps.google.com/mapfiles/kml/pushpin/ylw-pushpin.png&lt;/href&gt;
			&lt;/Icon&gt;
			&lt;hotSpot x="20" y="2" xunits="pixels" yunits="pixels"/&gt;
		&lt;/IconStyle&gt;
		&lt;LineStyle&gt;
			&lt;color&gt;ff7f00ff&lt;/color&gt;
			&lt;width&gt;6&lt;/width&gt;
		&lt;/LineStyle&gt;
	&lt;/Style&gt;
	&lt;Style id="sn_ylw-pushpin5"&gt;
		&lt;IconStyle&gt;
			&lt;scale&gt;1.1&lt;/scale&gt;
			&lt;Icon&gt;
				&lt;href&gt;http://maps.google.com/mapfiles/kml/pushpin/ylw-pushpin.png&lt;/href&gt;
			&lt;/Icon&gt;
			&lt;hotSpot x="20" y="2" xunits="pixels" yunits="pixels"/&gt;
		&lt;/IconStyle&gt;
		&lt;LineStyle&gt;
			&lt;color&gt;ff7f5500&lt;/color&gt;
			&lt;width&gt;6&lt;/width&gt;
		&lt;/LineStyle&gt;
	&lt;/Style&gt;
	&lt;Style id="sn_ylw-pushpin6"&gt;
		&lt;IconStyle&gt;
			&lt;scale&gt;1.1&lt;/scale&gt;
			&lt;Icon&gt;
				&lt;href&gt;http://maps.google.com/mapfiles/kml/pushpin/ylw-pushpin.png&lt;/href&gt;
			&lt;/Icon&gt;
			&lt;hotSpot x="20" y="2" xunits="pixels" yunits="pixels"/&gt;
		&lt;/IconStyle&gt;
		&lt;LineStyle&gt;
			&lt;color&gt;ffffaaff&lt;/color&gt;
			&lt;width&gt;6&lt;/width&gt;
		&lt;/LineStyle&gt;
	&lt;/Style&gt;
	&lt;Style id="sn_ylw-pushpin8"&gt;
		&lt;IconStyle&gt;
			&lt;scale&gt;1.1&lt;/scale&gt;
			&lt;Icon&gt;
				&lt;href&gt;http://maps.google.com/mapfiles/kml/pushpin/ylw-pushpin.png&lt;/href&gt;
			&lt;/Icon&gt;
			&lt;hotSpot x="20" y="2" xunits="pixels" yunits="pixels"/&gt;
		&lt;/IconStyle&gt;
		&lt;LineStyle&gt;
			&lt;color&gt;ff7fffaa&lt;/color&gt;
			&lt;width&gt;6&lt;/width&gt;
		&lt;/LineStyle&gt;
	&lt;/Style&gt;
	&lt;Style id="sn_ylw-pushpin9"&gt;
		&lt;IconStyle&gt;
			&lt;scale&gt;1.1&lt;/scale&gt;
			&lt;Icon&gt;
				&lt;href&gt;http://maps.google.com/mapfiles/kml/pushpin/ylw-pushpin.png&lt;/href&gt;
			&lt;/Icon&gt;
			&lt;hotSpot x="20" y="2" xunits="pixels" yunits="pixels"/&gt;
		&lt;/IconStyle&gt;
		&lt;LineStyle&gt;
			&lt;color&gt;ff000055&lt;/color&gt;
			&lt;width&gt;6&lt;/width&gt;
		&lt;/LineStyle&gt;
	&lt;/Style&gt;
	&lt;Folder&gt;
		&lt;name&gt;PAVIMENTAÇÃO EM PARALELEPÍPEDO COM ÁREA DE 24.804,00 M², NO MUNICÍPIO DE TERESINA – PI. CONT. 49/2024 - RENATA&lt;/name&gt;
		&lt;open&gt;1&lt;/open&gt;
		&lt;Folder&gt;
			&lt;name&gt;RUA ADOLFO CHAVES - TRECHO 01&lt;/name&gt;
			&lt;Placemark&gt;
				&lt;name&gt;RUA ADOLFO CHAVES - TRECHO 01&lt;/name&gt;
				&lt;styleUrl&gt;#msn_ylw-pushpin00&lt;/styleUrl&gt;
				&lt;LineString&gt;
					&lt;tessellate&gt;1&lt;/tessellate&gt;
					&lt;coordinates&gt;
						-42.75241975676088,-5.177606057563394,0 -42.75267674575642,-5.177688237506463,0 -42.75275401380492,-5.177709217197323,0 -42.75279697399809,-5.17771987998804,0 -42.75293579541962,-5.177762614062243,0 -42.75301009942375,-5.177787515137743,0 -42.75302910650932,-5.177796279139205,0 
					&lt;/coordinates&gt;
				&lt;/LineString&gt;
			&lt;/Placemark&gt;
			&lt;Placemark&gt;
				&lt;name&gt;final rua adolfo chaves trecho 01&lt;/name&gt;
				&lt;LookAt&gt;
					&lt;longitude&gt;-42.75284013744557&lt;/longitude&gt;
					&lt;latitude&gt;-5.177859642849555&lt;/latitude&gt;
					&lt;altitude&gt;0&lt;/altitude&gt;
					&lt;heading&gt;-0.4302468933388907&lt;/heading&gt;
					&lt;tilt&gt;30.00064286493156&lt;/tilt&gt;
					&lt;range&gt;143.4209061814572&lt;/range&gt;
					&lt;gx:altitudeMode&gt;relativeToSeaFloor&lt;/gx:altitudeMode&gt;
				&lt;/LookAt&gt;
				&lt;styleUrl&gt;#m_ylw-pushpin40&lt;/styleUrl&gt;
				&lt;Point&gt;
					&lt;gx:drawOrder&gt;1&lt;/gx:drawOrder&gt;
					&lt;coordinates&gt;-42.75302766244081,-5.177799158206162,0&lt;/coordinates&gt;
				&lt;/Point&gt;
			&lt;/Placemark&gt;
			&lt;Placemark&gt;
				&lt;name&gt;RUA ADOLFO CHAVES - TRECHO 01&lt;/name&gt;
				&lt;LookAt&gt;
					&lt;longitude&gt;-42.74923305975771&lt;/longitude&gt;
					&lt;latitude&gt;-5.178088210116732&lt;/latitude&gt;
					&lt;altitude&gt;0&lt;/altitude&gt;
					&lt;heading&gt;-0.002445002441679272&lt;/heading&gt;
					&lt;tilt&gt;11.72571973697587&lt;/tilt&gt;
					&lt;range&gt;1152.448788063488&lt;/range&gt;
					&lt;gx:altitudeMode&gt;relativeToSeaFloor&lt;/gx:altitudeMode&gt;
				&lt;/LookAt&gt;
				&lt;styleUrl&gt;#m_ylw-pushpin6&lt;/styleUrl&gt;
				&lt;Point&gt;
					&lt;gx:drawOrder&gt;1&lt;/gx:drawOrder&gt;
					&lt;coordinates&gt;-42.75274407193122,-5.177719343399242,0&lt;/coordinates&gt;
				&lt;/Point&gt;
			&lt;/Placemark&gt;
		&lt;/Folder&gt;
		&lt;Folder&gt;
			&lt;name&gt;RUA ADOLFO CHAVES - TRECHO 02&lt;/name&gt;
			&lt;Placemark&gt;
				&lt;name&gt;Inicio Adolfo Chaves Trecho 02&lt;/name&gt;
				&lt;LookAt&gt;
					&lt;longitude&gt;-42.75217535719359&lt;/longitude&gt;
					&lt;latitude&gt;-5.177569459592037&lt;/latitude&gt;
					&lt;altitude&gt;0&lt;/altitude&gt;
					&lt;heading&gt;6.854315276968665&lt;/heading&gt;
					&lt;tilt&gt;17.65184496410115&lt;/tilt&gt;
					&lt;range&gt;206.2323415380552&lt;/range&gt;
					&lt;gx:altitudeMode&gt;relativeToSeaFloor&lt;/gx:altitudeMode&gt;
				&lt;/LookAt&gt;
				&lt;styleUrl&gt;#m_ylw-pushpin40&lt;/styleUrl&gt;
				&lt;Point&gt;
					&lt;gx:drawOrder&gt;1&lt;/gx:drawOrder&gt;
					&lt;coordinates&gt;-42.7522566122302,-5.177585849383441,0&lt;/coordinates&gt;
				&lt;/Point&gt;
			&lt;/Placemark&gt;
			&lt;Placemark&gt;
				&lt;name&gt;RUA ADOLFO CHAVES - TRECHO 02&lt;/name&gt;
				&lt;styleUrl&gt;#msn_ylw-pushpin15&lt;/styleUrl&gt;
				&lt;LineString&gt;
					&lt;tessellate&gt;1&lt;/tessellate&gt;
					&lt;coordinates&gt;
						-42.75227720025158,-5.177585276637151,0 -42.74985717814224,-5.176820289432296,0 -42.74930259330237,-5.176659116782518,0 
					&lt;/coordinates&gt;
				&lt;/LineString&gt;
			&lt;/Placemark&gt;
			&lt;Placemark&gt;
				&lt;name&gt;RUA ADOLFO CHAVES - TRECHO 02&lt;/name&gt;
				&lt;LookAt&gt;
					&lt;longitude&gt;-42.74923305975771&lt;/longitude&gt;
					&lt;latitude&gt;-5.178088210116732&lt;/latitude&gt;
					&lt;altitude&gt;0&lt;/altitude&gt;
					&lt;heading&gt;-0.002445002441679272&lt;/heading&gt;
					&lt;tilt&gt;11.72571973697587&lt;/tilt&gt;
					&lt;range&gt;1152.448788063488&lt;/range&gt;
					&lt;gx:altitudeMode&gt;relativeToSeaFloor&lt;/gx:altitudeMode&gt;
				&lt;/LookAt&gt;
				&lt;styleUrl&gt;#m_ylw-pushpin6&lt;/styleUrl&gt;
				&lt;Point&gt;
					&lt;gx:drawOrder&gt;1&lt;/gx:drawOrder&gt;
					&lt;coordinates&gt;-42.75075962050784,-5.177117798437423,0&lt;/coordinates&gt;
				&lt;/Point&gt;
			&lt;/Placemark&gt;
			&lt;Placemark&gt;
				&lt;name&gt;Rua Adolfo Chaves trecho 02 final&lt;/name&gt;
				&lt;LookAt&gt;
					&lt;longitude&gt;-42.75010234024409&lt;/longitude&gt;
					&lt;latitude&gt;-5.177263546826433&lt;/latitude&gt;
					&lt;altitude&gt;0&lt;/altitude&gt;
					&lt;heading&gt;0.1968935492948729&lt;/heading&gt;
					&lt;tilt&gt;15.04698936283546&lt;/tilt&gt;
					&lt;range&gt;362.6970047343626&lt;/range&gt;
					&lt;gx:altitudeMode&gt;relativeToSeaFloor&lt;/gx:altitudeMode&gt;
				&lt;/LookAt&gt;
				&lt;styleUrl&gt;#m_ylw-pushpin40&lt;/styleUrl&gt;
				&lt;Point&gt;
					&lt;gx:drawOrder&gt;1&lt;/gx:drawOrder&gt;
					&lt;coordinates&gt;-42.74929964092677,-5.176662547115175,0&lt;/coordinates&gt;
				&lt;/Point&gt;
			&lt;/Placemark&gt;
		&lt;/Folder&gt;
		&lt;Folder&gt;
			&lt;name&gt;RUA 18&lt;/name&gt;
			&lt;Placemark&gt;
				&lt;name&gt;RUA 18 FINAL&lt;/name&gt;
				&lt;LookAt&gt;
					&lt;longitude&gt;-42.75213949335902&lt;/longitude&gt;
					&lt;latitude&gt;-5.174980508509554&lt;/latitude&gt;
					&lt;altitude&gt;0&lt;/altitude&gt;
					&lt;heading&gt;1.436154674727395&lt;/heading&gt;
					&lt;tilt&gt;24.7077529500326&lt;/tilt&gt;
					&lt;range&gt;188.8915479386158&lt;/range&gt;
					&lt;gx:altitudeMode&gt;relativeToSeaFloor&lt;/gx:altitudeMode&gt;
				&lt;/LookAt&gt;
				&lt;styleUrl&gt;#m_ylw-pushpin40&lt;/styleUrl&gt;
				&lt;Point&gt;
					&lt;gx:drawOrder&gt;1&lt;/gx:drawOrder&gt;
					&lt;coordinates&gt;-42.75223525939781,-5.175014042897812,0&lt;/coordinates&gt;
				&lt;/Point&gt;
			&lt;/Placemark&gt;
			&lt;Placemark&gt;
				&lt;name&gt;RUA 18&lt;/name&gt;
				&lt;styleUrl&gt;#m_ylw-pushpin0100&lt;/styleUrl&gt;
				&lt;LineString&gt;
					&lt;tessellate&gt;1&lt;/tessellate&gt;
					&lt;coordinates&gt;
						-42.75222981341286,-5.175006497135135,0 -42.75136876702681,-5.174752155648584,0 
					&lt;/coordinates&gt;
				&lt;/LineString&gt;
			&lt;/Placemark&gt;
			&lt;Placemark&gt;
				&lt;name&gt;RUA 18 INICIO&lt;/name&gt;
				&lt;LookAt&gt;
					&lt;longitude&gt;-42.75133114743617&lt;/longitude&gt;
					&lt;latitude&gt;-5.17491602783346&lt;/latitude&gt;
					&lt;altitude&gt;0&lt;/altitude&gt;
					&lt;heading&gt;0.3972956561448742&lt;/heading&gt;
					&lt;tilt&gt;25.35453495476272&lt;/tilt&gt;
					&lt;range&gt;223.186699428225&lt;/range&gt;
					&lt;gx:altitudeMode&gt;relativeToSeaFloor&lt;/gx:altitudeMode&gt;
				&lt;/LookAt&gt;
				&lt;styleUrl&gt;#m_ylw-pushpin40&lt;/styleUrl&gt;
				&lt;Point&gt;
					&lt;gx:drawOrder&gt;1&lt;/gx:drawOrder&gt;
					&lt;coordinates&gt;-42.75136704654202,-5.174764649355188,0&lt;/coordinates&gt;
				&lt;/Point&gt;
			&lt;/Placemark&gt;
			&lt;Placemark&gt;
				&lt;name&gt;RUA 18&lt;/name&gt;
				&lt;LookAt&gt;
					&lt;longitude&gt;-42.75098480113647&lt;/longitude&gt;
					&lt;latitude&gt;-5.178465938851778&lt;/latitude&gt;
					&lt;altitude&gt;0&lt;/altitude&gt;
					&lt;heading&gt;67.31574509233495&lt;/heading&gt;
					&lt;tilt&gt;0&lt;/tilt&gt;
					&lt;range&gt;1165.726744491804&lt;/range&gt;
					&lt;gx:altitudeMode&gt;relativeToSeaFloor&lt;/gx:altitudeMode&gt;
				&lt;/LookAt&gt;
				&lt;styleUrl&gt;#m_ylw-pushpin6&lt;/styleUrl&gt;
				&lt;Point&gt;
					&lt;gx:drawOrder&gt;1&lt;/gx:drawOrder&gt;
					&lt;coordinates&gt;-42.75182566340716,-5.174894700910125,0&lt;/coordinates&gt;
				&lt;/Point&gt;
			&lt;/Placemark&gt;
		&lt;/Folder&gt;
		&lt;Folder&gt;
			&lt;name&gt;RUA CARANDAÍ&lt;/name&gt;
			&lt;Placemark&gt;
				&lt;name&gt;FINAL RUA CARANDAÍ&lt;/name&gt;
				&lt;Camera&gt;
					&lt;longitude&gt;-42.75130946772209&lt;/longitude&gt;
					&lt;latitude&gt;-5.176539356596487&lt;/latitude&gt;
					&lt;altitude&gt;329.2550097144068&lt;/altitude&gt;
					&lt;heading&gt;3.819262767017066&lt;/heading&gt;
					&lt;tilt&gt;22.21047801138629&lt;/tilt&gt;
					&lt;roll&gt;0.7306767135901059&lt;/roll&gt;
					&lt;gx:altitudeMode&gt;relativeToSeaFloor&lt;/gx:altitudeMode&gt;
				&lt;/Camera&gt;
				&lt;styleUrl&gt;#m_ylw-pushpin40&lt;/styleUrl&gt;
				&lt;Point&gt;
					&lt;gx:drawOrder&gt;1&lt;/gx:drawOrder&gt;
					&lt;coordinates&gt;-42.75132019359399,-5.174751624149989,0&lt;/coordinates&gt;
				&lt;/Point&gt;
			&lt;/Placemark&gt;
			&lt;Placemark&gt;
				&lt;name&gt;RUA CARANDAÍ&lt;/name&gt;
				&lt;styleUrl&gt;#msn_ylw-pushpin18&lt;/styleUrl&gt;
				&lt;LineString&gt;
					&lt;tessellate&gt;1&lt;/tessellate&gt;
					&lt;coordinates&gt;
						-42.75132095476476,-5.174752519839183,0 -42.75089630363771,-5.175890505805681,0 -42.75072693565803,-5.176463858101184,0 -42.75057694516324,-5.177030214639067,0 -42.75041568744501,-5.177445473242198,0 -42.7503405153838,-5.177797781026403,0 
					&lt;/coordinates&gt;
				&lt;/LineString&gt;
			&lt;/Placemark&gt;
			&lt;Placemark&gt;
				&lt;name&gt;INÍCIO RUA CARANDAÍ&lt;/name&gt;
				&lt;Camera&gt;
					&lt;longitude&gt;-42.75125130494205&lt;/longitude&gt;
					&lt;latitude&gt;-5.178491687046873&lt;/latitude&gt;
					&lt;altitude&gt;329.2550097852184&lt;/altitude&gt;
					&lt;heading&gt;3.049760100232787&lt;/heading&gt;
					&lt;tilt&gt;22.20899690837334&lt;/tilt&gt;
					&lt;roll&gt;0.5834864726813579&lt;/roll&gt;
					&lt;gx:altitudeMode&gt;relativeToSeaFloor&lt;/gx:altitudeMode&gt;
				&lt;/Camera&gt;
				&lt;styleUrl&gt;#m_ylw-pushpin40&lt;/styleUrl&gt;
				&lt;Point&gt;
					&lt;gx:drawOrder&gt;1&lt;/gx:drawOrder&gt;
					&lt;coordinates&gt;-42.75034615169874,-5.17781592577367,0&lt;/coordinates&gt;
				&lt;/Point&gt;
			&lt;/Placemark&gt;
			&lt;Placemark&gt;
				&lt;name&gt;RUA CARANDAÍ - TRECHO 01&lt;/name&gt;
				&lt;LookAt&gt;
					&lt;longitude&gt;-42.75098480113647&lt;/longitude&gt;
					&lt;latitude&gt;-5.178465938851778&lt;/latitude&gt;
					&lt;altitude&gt;0&lt;/altitude&gt;
					&lt;heading&gt;67.31574509233495&lt;/heading&gt;
					&lt;tilt&gt;0&lt;/tilt&gt;
					&lt;range&gt;1165.726744491804&lt;/range&gt;
					&lt;gx:altitudeMode&gt;relativeToSeaFloor&lt;/gx:altitudeMode&gt;
				&lt;/LookAt&gt;
				&lt;styleUrl&gt;#m_ylw-pushpin6&lt;/styleUrl&gt;
				&lt;Point&gt;
					&lt;gx:drawOrder&gt;1&lt;/gx:drawOrder&gt;
					&lt;coordinates&gt;-42.75105689053674,-5.175497338945919,0&lt;/coordinates&gt;
				&lt;/Point&gt;
			&lt;/Placemark&gt;
		&lt;/Folder&gt;
		&lt;Folder&gt;
			&lt;name&gt;RUA JOSÉ SERRATE&lt;/name&gt;
			&lt;Placemark&gt;
				&lt;name&gt;FINAL RUA JOSE SERRATE&lt;/name&gt;
				&lt;LookAt&gt;
					&lt;longitude&gt;-42.7516474031751&lt;/longitude&gt;
					&lt;latitude&gt;-5.175567600236961&lt;/latitude&gt;
					&lt;altitude&gt;0&lt;/altitude&gt;
					&lt;heading&gt;-1.376202793335727e-05&lt;/heading&gt;
					&lt;tilt&gt;19.63322217571512&lt;/tilt&gt;
					&lt;range&gt;364.6014390660507&lt;/range&gt;
					&lt;gx:altitudeMode&gt;relativeToSeaFloor&lt;/gx:altitudeMode&gt;
				&lt;/LookAt&gt;
				&lt;styleUrl&gt;#m_ylw-pushpin40&lt;/styleUrl&gt;
				&lt;Point&gt;
					&lt;gx:drawOrder&gt;1&lt;/gx:drawOrder&gt;
					&lt;coordinates&gt;-42.75170536300869,-5.175527280147301,0&lt;/coordinates&gt;
				&lt;/Point&gt;
			&lt;/Placemark&gt;
			&lt;Placemark&gt;
				&lt;name&gt;RUA JOSE SERRATE&lt;/name&gt;
				&lt;styleUrl&gt;#msn_ylw-pushpin6&lt;/styleUrl&gt;
				&lt;LineString&gt;
					&lt;tessellate&gt;1&lt;/tessellate&gt;
					&lt;coordinates&gt;
						-42.75170592933493,-5.175491061000357,0 -42.75026972305969,-5.175033012384205,0 
					&lt;/coordinates&gt;
				&lt;/LineString&gt;
			&lt;/Placemark&gt;
			&lt;Placemark&gt;
				&lt;name&gt;INICIO RUA JOSE SERRATE&lt;/name&gt;
				&lt;LookAt&gt;
					&lt;longitude&gt;-42.75092614346808&lt;/longitude&gt;
					&lt;latitude&gt;-5.174952164180355&lt;/latitude&gt;
					&lt;altitude&gt;0&lt;/altitude&gt;
					&lt;heading&gt;-3.135406798088052e-05&lt;/heading&gt;
					&lt;tilt&gt;15.91341150379952&lt;/tilt&gt;
					&lt;range&gt;384.8980395447239&lt;/range&gt;
					&lt;gx:altitudeMode&gt;relativeToSeaFloor&lt;/gx:altitudeMode&gt;
				&lt;/LookAt&gt;
				&lt;styleUrl&gt;#m_ylw-pushpin40&lt;/styleUrl&gt;
				&lt;Point&gt;
					&lt;gx:drawOrder&gt;1&lt;/gx:drawOrder&gt;
					&lt;coordinates&gt;-42.75027677578085,-5.175046113996421,0&lt;/coordinates&gt;
				&lt;/Point&gt;
			&lt;/Placemark&gt;
			&lt;Placemark&gt;
				&lt;name&gt;RUA SERRATE&lt;/name&gt;
				&lt;LookAt&gt;
					&lt;longitude&gt;-42.75098480113647&lt;/longitude&gt;
					&lt;latitude&gt;-5.178465938851778&lt;/latitude&gt;
					&lt;altitude&gt;0&lt;/altitude&gt;
					&lt;heading&gt;67.31574509233495&lt;/heading&gt;
					&lt;tilt&gt;0&lt;/tilt&gt;
					&lt;range&gt;1165.726744491804&lt;/range&gt;
					&lt;gx:altitudeMode&gt;relativeToSeaFloor&lt;/gx:altitudeMode&gt;
				&lt;/LookAt&gt;
				&lt;styleUrl&gt;#</t>
  </si>
  <si>
    <t>PAVIMENTAÇÃO DE VIA S PÚBLICAS 18.728M² NO MUNICÍPIO DE TERESINA-PI CONTRATO 160/2024</t>
  </si>
  <si>
    <t>ININGA,SOCOPO,ZOOBOTÂNICO</t>
  </si>
  <si>
    <t>&lt;?xml version="1.0" encoding="UTF-8"?&gt;
&lt;kml xmlns="http://www.opengis.net/kml/2.2" xmlns:gx="http://www.google.com/kml/ext/2.2" xmlns:kml="http://www.opengis.net/kml/2.2" xmlns:atom="http://www.w3.org/2005/Atom"&gt;
&lt;Document&gt;
	&lt;name&gt;12980.kmz&lt;/name&gt;
	&lt;StyleMap id="m_ylw-pushpin"&gt;
		&lt;Pair&gt;
			&lt;key&gt;normal&lt;/key&gt;
			&lt;styleUrl&gt;#s_ylw-pushpin0&lt;/styleUrl&gt;
		&lt;/Pair&gt;
		&lt;Pair&gt;
			&lt;key&gt;highlight&lt;/key&gt;
			&lt;styleUrl&gt;#s_ylw-pushpin_hl&lt;/styleUrl&gt;
		&lt;/Pair&gt;
	&lt;/StyleMap&gt;
	&lt;StyleMap id="m_ylw-pushpin0"&gt;
		&lt;Pair&gt;
			&lt;key&gt;normal&lt;/key&gt;
			&lt;styleUrl&gt;#s_ylw-pushpin&lt;/styleUrl&gt;
		&lt;/Pair&gt;
		&lt;Pair&gt;
			&lt;key&gt;highlight&lt;/key&gt;
			&lt;styleUrl&gt;#s_ylw-pushpin_hl0&lt;/styleUrl&gt;
		&lt;/Pair&gt;
	&lt;/StyleMap&gt;
	&lt;Style id="s_ylw-pushpin"&gt;
		&lt;IconStyle&gt;
			&lt;scale&gt;1.1&lt;/scale&gt;
			&lt;Icon&gt;
				&lt;href&gt;http://maps.google.com/mapfiles/kml/pushpin/ylw-pushpin.png&lt;/href&gt;
			&lt;/Icon&gt;
			&lt;hotSpot x="20" y="2" xunits="pixels" yunits="pixels"/&gt;
		&lt;/IconStyle&gt;
		&lt;LineStyle&gt;
			&lt;color&gt;ff0000ff&lt;/color&gt;
			&lt;width&gt;6&lt;/width&gt;
		&lt;/LineStyle&gt;
	&lt;/Style&gt;
	&lt;Style id="s_ylw-pushpin0"&gt;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&lt;Style id="s_ylw-pushpin_hl0"&gt;
		&lt;IconStyle&gt;
			&lt;scale&gt;1.3&lt;/scale&gt;
			&lt;Icon&gt;
				&lt;href&gt;http://maps.google.com/mapfiles/kml/pushpin/ylw-pushpin.png&lt;/href&gt;
			&lt;/Icon&gt;
			&lt;hotSpot x="20" y="2" xunits="pixels" yunits="pixels"/&gt;
		&lt;/IconStyle&gt;
		&lt;LineStyle&gt;
			&lt;color&gt;ff0000ff&lt;/color&gt;
			&lt;width&gt;6&lt;/width&gt;
		&lt;/LineStyle&gt;
	&lt;/Style&gt;
	&lt;Folder&gt;
		&lt;name&gt;Lugares temporários&lt;/name&gt;
		&lt;open&gt;1&lt;/open&gt;
		&lt;Placemark&gt;
			&lt;name&gt;  5° 0&amp;apos;8.82&amp;quot;S /  42°41&amp;apos;37.43&amp;quot;O&lt;/name&gt;
			&lt;LookAt&gt;
				&lt;longitude&gt;-42.80407695423126&lt;/longitude&gt;
				&lt;latitude&gt;-5.087613068830782&lt;/latitude&gt;
				&lt;altitude&gt;0&lt;/altitude&gt;
				&lt;heading&gt;-0.001607856295623802&lt;/heading&gt;
				&lt;tilt&gt;0&lt;/tilt&gt;
				&lt;range&gt;51502.60270835807&lt;/range&gt;
				&lt;gx:altitudeMode&gt;relativeToSeaFloor&lt;/gx:altitudeMode&gt;
			&lt;/LookAt&gt;
			&lt;styleUrl&gt;#m_ylw-pushpin&lt;/styleUrl&gt;
			&lt;Point&gt;
				&lt;gx:drawOrder&gt;1&lt;/gx:drawOrder&gt;
				&lt;coordinates&gt;-42.69373055555555,-5.00245,0&lt;/coordinates&gt;
			&lt;/Point&gt;
		&lt;/Placemark&gt;
		&lt;Placemark&gt;
			&lt;name&gt;  5° 0&amp;apos;6.73&amp;quot;S /  42°41&amp;apos;25.84&amp;quot;O&lt;/name&gt;
			&lt;LookAt&gt;
				&lt;longitude&gt;-42.69037629265269&lt;/longitude&gt;
				&lt;latitude&gt;-5.003971526735354&lt;/latitude&gt;
				&lt;altitude&gt;0&lt;/altitude&gt;
				&lt;heading&gt;-0.01133177397689565&lt;/heading&gt;
				&lt;tilt&gt;13.74278806989832&lt;/tilt&gt;
				&lt;range&gt;2033.080179837212&lt;/range&gt;
				&lt;gx:altitudeMode&gt;relativeToSeaFloor&lt;/gx:altitudeMode&gt;
			&lt;/LookAt&gt;
			&lt;styleUrl&gt;#m_ylw-pushpin&lt;/styleUrl&gt;
			&lt;Point&gt;
				&lt;gx:drawOrder&gt;1&lt;/gx:drawOrder&gt;
				&lt;coordinates&gt;-42.69051111111111,-5.001869444444444,0&lt;/coordinates&gt;
			&lt;/Point&gt;
		&lt;/Placemark&gt;
		&lt;Placemark&gt;
			&lt;name&gt;RUA PROJETADA 01&lt;/name&gt;
			&lt;styleUrl&gt;#m_ylw-pushpin0&lt;/styleUrl&gt;
			&lt;LineString&gt;
				&lt;tessellate&gt;1&lt;/tessellate&gt;
				&lt;coordinates&gt;
					-42.69374768094116,-5.002447100726772,0 -42.69339532615827,-5.001407347270526,0 -42.69331738987049,-5.001424776816484,0 -42.69313923026966,-5.001509444022501,0 -42.69263759819427,-5.001678157073401,0 -42.6920880505452,-5.00176386446909,0 -42.69134830877538,-5.001837815683367,0 -42.6904827408647,-5.001880896433407,0 
				&lt;/coordinates&gt;
			&lt;/LineString&gt;
		&lt;/Placemark&gt;
		&lt;Placemark&gt;
			&lt;name&gt;  5° 1&amp;apos;6.42&amp;quot;S /  42°43&amp;apos;59.88&amp;quot;O&lt;/name&gt;
			&lt;LookAt&gt;
				&lt;longitude&gt;-42.69064444869831&lt;/longitude&gt;
				&lt;latitude&gt;-5.001285263365065&lt;/latitude&gt;
				&lt;altitude&gt;0&lt;/altitude&gt;
				&lt;heading&gt;-0.01028668012456728&lt;/heading&gt;
				&lt;tilt&gt;26.4110066508475&lt;/tilt&gt;
				&lt;range&gt;1032.151434663849&lt;/range&gt;
				&lt;gx:altitudeMode&gt;relativeToSeaFloor&lt;/gx:altitudeMode&gt;
			&lt;/LookAt&gt;
			&lt;styleUrl&gt;#m_ylw-pushpin&lt;/styleUrl&gt;
			&lt;Point&gt;
				&lt;gx:drawOrder&gt;1&lt;/gx:drawOrder&gt;
				&lt;coordinates&gt;-42.7333,-5.01845,0&lt;/coordinates&gt;
			&lt;/Point&gt;
		&lt;/Placemark&gt;
		&lt;Placemark&gt;
			&lt;name&gt;  5° 1&amp;apos;5.84&amp;quot;S /  42°43&amp;apos;49.19&amp;quot;O&lt;/name&gt;
			&lt;LookAt&gt;
				&lt;longitude&gt;-42.69064444910158&lt;/longitude&gt;
				&lt;latitude&gt;-5.00128526635505&lt;/latitude&gt;
				&lt;altitude&gt;0&lt;/altitude&gt;
				&lt;heading&gt;-0.01028668089947963&lt;/heading&gt;
				&lt;tilt&gt;26.41100664785753&lt;/tilt&gt;
				&lt;range&gt;1032.151282376427&lt;/range&gt;
				&lt;gx:altitudeMode&gt;relativeToSeaFloor&lt;/gx:altitudeMode&gt;
			&lt;/LookAt&gt;
			&lt;styleUrl&gt;#m_ylw-pushpin&lt;/styleUrl&gt;
			&lt;Point&gt;
				&lt;gx:drawOrder&gt;1&lt;/gx:drawOrder&gt;
				&lt;coordinates&gt;-42.73033055555555,-5.018288888888889,0&lt;/coordinates&gt;
			&lt;/Point&gt;
		&lt;/Placemark&gt;
		&lt;Placemark&gt;
			&lt;name&gt;RUA PROJEYADA 03&lt;/name&gt;
			&lt;styleUrl&gt;#m_ylw-pushpin0&lt;/styleUrl&gt;
			&lt;LineString&gt;
				&lt;tessellate&gt;1&lt;/tessellate&gt;
				&lt;coordinates&gt;
					-42.73326698529262,-5.018470421380513,0 -42.73035142659748,-5.018325432741793,0 
				&lt;/coordinates&gt;
			&lt;/LineString&gt;
		&lt;/Placemark&gt;
		&lt;Placemark&gt;
			&lt;name&gt;  5° 1&amp;apos;21.54&amp;quot;S /  42°44&amp;apos;1.54&amp;quot;O&lt;/name&gt;
			&lt;LookAt&gt;
				&lt;longitude&gt;-42.73027447808852&lt;/longitude&gt;
				&lt;latitude&gt;-5.017695768261015&lt;/latitude&gt;
				&lt;altitude&gt;0&lt;/altitude&gt;
				&lt;heading&gt;-0.006458218216069352&lt;/heading&gt;
				&lt;tilt&gt;30.0020720392499&lt;/tilt&gt;
				&lt;range&gt;461.2999438863384&lt;/range&gt;
				&lt;gx:altitudeMode&gt;relativeToSeaFloor&lt;/gx:altitudeMode&gt;
			&lt;/LookAt&gt;
			&lt;styleUrl&gt;#m_ylw-pushpin&lt;/styleUrl&gt;
			&lt;Point&gt;
				&lt;gx:drawOrder&gt;1&lt;/gx:drawOrder&gt;
				&lt;coordinates&gt;-42.73376111111111,-5.02265,0&lt;/coordinates&gt;
			&lt;/Point&gt;
		&lt;/Placemark&gt;
		&lt;Placemark&gt;
			&lt;name&gt;  5° 1&amp;apos;5.95&amp;quot;S /  42°43&amp;apos;51.57&amp;quot;O&lt;/name&gt;
			&lt;LookAt&gt;
				&lt;longitude&gt;-42.73027447808852&lt;/longitude&gt;
				&lt;latitude&gt;-5.017695768261015&lt;/latitude&gt;
				&lt;altitude&gt;0&lt;/altitude&gt;
				&lt;heading&gt;-0.006458218216069352&lt;/heading&gt;
				&lt;tilt&gt;30.0020720392499&lt;/tilt&gt;
				&lt;range&gt;461.2999438863384&lt;/range&gt;
				&lt;gx:altitudeMode&gt;relativeToSeaFloor&lt;/gx:altitudeMode&gt;
			&lt;/LookAt&gt;
			&lt;styleUrl&gt;#m_ylw-pushpin&lt;/styleUrl&gt;
			&lt;Point&gt;
				&lt;gx:drawOrder&gt;1&lt;/gx:drawOrder&gt;
				&lt;coordinates&gt;-42.73099166666667,-5.018319444444445,0&lt;/coordinates&gt;
			&lt;/Point&gt;
		&lt;/Placemark&gt;
		&lt;Placemark&gt;
			&lt;name&gt;RUA PROJETADA 02&lt;/name&gt;
			&lt;styleUrl&gt;#m_ylw-pushpin0&lt;/styleUrl&gt;
			&lt;LineString&gt;
				&lt;tessellate&gt;1&lt;/tessellate&gt;
				&lt;coordinates&gt;
					-42.73375055845769,-5.022657856378763,0 -42.73289668377921,-5.021895436751657,0 -42.73267957102116,-5.021788654704389,0 -42.7324606486808,-5.021577693405672,0 -42.73086191221631,-5.019512448320087,0 -42.73084139989078,-5.019362154290414,0 -42.73100679256397,-5.018421670438685,0 
				&lt;/coordinates&gt;
			&lt;/LineString&gt;
		&lt;/Placemark&gt;
		&lt;Placemark&gt;
			&lt;name&gt;  5° 3&amp;apos;13.69&amp;quot;S /  42°47&amp;apos;23.73&amp;quot;O&lt;/name&gt;
			&lt;LookAt&gt;
				&lt;longitude&gt;-42.78936480924688&lt;/longitude&gt;
				&lt;latitude&gt;-5.0534212728525&lt;/latitude&gt;
				&lt;altitude&gt;0&lt;/altitude&gt;
				&lt;heading&gt;4.548697827612044&lt;/heading&gt;
				&lt;tilt&gt;40.87856683712834&lt;/tilt&gt;
				&lt;range&gt;199.891466168954&lt;/range&gt;
				&lt;gx:altitudeMode&gt;relativeToSeaFloor&lt;/gx:altitudeMode&gt;
			&lt;/LookAt&gt;
			&lt;styleUrl&gt;#m_ylw-pushpin&lt;/styleUrl&gt;
			&lt;Point&gt;
				&lt;gx:drawOrder&gt;1&lt;/gx:drawOrder&gt;
				&lt;coordinates&gt;-42.789925,-5.053802777777777,0&lt;/coordinates&gt;
			&lt;/Point&gt;
		&lt;/Placemark&gt;
		&lt;Placemark&gt;
			&lt;name&gt;  5° 3&amp;apos;14.80&amp;quot;S /  42°47&amp;apos;21.23&amp;quot;O&lt;/name&gt;
			&lt;LookAt&gt;
				&lt;longitude&gt;-42.73208993226002&lt;/longitude&gt;
				&lt;latitude&gt;-5.021628578353002&lt;/latitude&gt;
				&lt;altitude&gt;0&lt;/altitude&gt;
				&lt;heading&gt;4.543636883392622&lt;/heading&gt;
				&lt;tilt&gt;40.92639435628041&lt;/tilt&gt;
				&lt;range&gt;472.1189408587616&lt;/range&gt;
				&lt;gx:altitudeMode&gt;relativeToSeaFloor&lt;/gx:altitudeMode&gt;
			&lt;/LookAt&gt;
			&lt;styleUrl&gt;#m_ylw-pushpin&lt;/styleUrl&gt;
			&lt;Point&gt;
				&lt;gx:drawOrder&gt;1&lt;/gx:drawOrder&gt;
				&lt;coordinates&gt;-42.78923055555556,-5.054111111111111,0&lt;/coordinates&gt;
			&lt;/Point&gt;
		&lt;/Placemark&gt;
		&lt;Placemark&gt;
			&lt;name&gt;RUA PROJETADA 04&lt;/name&gt;
			&lt;styleUrl&gt;#m_ylw-pushpin0&lt;/styleUrl&gt;
			&lt;LineString&gt;
				&lt;tessellate&gt;1&lt;/tessellate&gt;
				&lt;coordinates&gt;
					-42.78990809425645,-5.053785675808057,0 -42.78921059314526,-5.054112573603527,0 
				&lt;/coordinates&gt;
			&lt;/LineString&gt;
		&lt;/Placemark&gt;
		&lt;Placemark&gt;
			&lt;name&gt;  5° 3&amp;apos;14.99&amp;quot;S /  42°47&amp;apos;20.96&amp;quot;O&lt;/name&gt;
			&lt;LookAt&gt;
				&lt;longitude&gt;-42.78868380638136&lt;/longitude&gt;
				&lt;latitude&gt;-5.053708534924787&lt;/latitude&gt;
				&lt;altitude&gt;0&lt;/altitude&gt;
				&lt;heading&gt;4.548637743148672&lt;/heading&gt;
				&lt;tilt&gt;40.87826296005132&lt;/tilt&gt;
				&lt;range&gt;148.2199248014541&lt;/range&gt;
				&lt;gx:altitudeMode&gt;relativeToSeaFloor&lt;/gx:altitudeMode&gt;
			&lt;/LookAt&gt;
			&lt;styleUrl&gt;#m_ylw-pushpin&lt;/styleUrl&gt;
			&lt;Point&gt;
				&lt;gx:drawOrder&gt;1&lt;/gx:drawOrder&gt;
				&lt;coordinates&gt;-42.78915555555555,-5.054163888888889,0&lt;/coordinates&gt;
			&lt;/Point&gt;
		&lt;/Placemark&gt;
		&lt;Placemark&gt;
			&lt;name&gt;  5° 3&amp;apos;15.73&amp;quot;S /  42°47&amp;apos;19.32&amp;quot;O&lt;/name&gt;
			&lt;LookAt&gt;
				&lt;longitude&gt;-42.7891755860434&lt;/longitude&gt;
				&lt;latitude&gt;-5.052919242137384&lt;/latitude&gt;
				&lt;altitude&gt;0&lt;/altitude&gt;
				&lt;heading&gt;4.548681157650101&lt;/heading&gt;
				&lt;tilt&gt;40.87984698183483&lt;/tilt&gt;
				&lt;range&gt;417.64546498042&lt;/range&gt;
				&lt;gx:altitudeMode&gt;relativeToSeaFloor&lt;/gx:altitudeMode&gt;
			&lt;/LookAt&gt;
			&lt;styleUrl&gt;#m_ylw-pushpin&lt;/styleUrl&gt;
			&lt;Point&gt;
				&lt;gx:drawOrder&gt;1&lt;/gx:drawOrder&gt;
				&lt;coordinates&gt;-42.7887,-5.054369444444444,0&lt;/coordinates&gt;
			&lt;/Point&gt;
		&lt;/Placemark&gt;
		&lt;Placemark&gt;
			&lt;name&gt;RUA PROJETADA 05&lt;/name&gt;
			&lt;styleUrl&gt;#m_ylw-pushpin0&lt;/styleUrl&gt;
			&lt;LineString&gt;
				&lt;tessellate&gt;1&lt;/tessellate&gt;
				&lt;coordinates&gt;
					-42.78915350568073,-5.054154895785789,0 -42.78868896352211,-5.054359489573427,0 
				&lt;/coordinates&gt;
			&lt;/LineString&gt;
		&lt;/Placemark&gt;
		&lt;Placemark&gt;
			&lt;name&gt;  5° 0&amp;apos;35.17&amp;quot;S /  42°45&amp;apos;24.73&amp;quot;O&lt;/name&gt;
			&lt;LookAt&gt;
				&lt;longitude&gt;-42.78856579615862&lt;/longitude&gt;
				&lt;latitude&gt;-5.053562545274115&lt;/latitude&gt;
				&lt;altitude&gt;0&lt;/altitude&gt;
				&lt;heading&gt;4.548627336696501&lt;/heading&gt;
				&lt;tilt&gt;40.87862690406887&lt;/tilt&gt;
				&lt;range&gt;210.1243861879655&lt;/range&gt;
				&lt;gx:altitudeMode&gt;relativeToSeaFloor&lt;/gx:altitudeMode&gt;
			&lt;/LookAt&gt;
			&lt;styleUrl&gt;#m_ylw-pushpin&lt;/styleUrl&gt;
			&lt;Point&gt;
				&lt;gx:drawOrder&gt;1&lt;/gx:drawOrder&gt;
				&lt;coordinates&gt;-42.75686944444445,-5.009769444444444,0&lt;/coordinates&gt;
			&lt;/Point&gt;
		&lt;/Placemark&gt;
		&lt;Placemark&gt;
			&lt;name&gt;  5° 0&amp;apos;27.40&amp;quot;S /  42°45&amp;apos;20.23&amp;quot;O&lt;/name&gt;
			&lt;LookAt&gt;
				&lt;longitude&gt;-42.78854520075038&lt;/longitude&gt;
				&lt;latitude&gt;-5.053136375229796&lt;/latitude&gt;
				&lt;altitude&gt;0&lt;/altitude&gt;
				&lt;heading&gt;4.548625520634821&lt;/heading&gt;
				&lt;tilt&gt;40.87982808717401&lt;/tilt&gt;
				&lt;range&gt;414.4476274188314&lt;/range&gt;
				&lt;gx:altitudeMode&gt;relativeToSeaFloor&lt;/gx:altitudeMode&gt;
			&lt;/LookAt&gt;
			&lt;styleUrl&gt;#m_ylw-pushpin&lt;/styleUrl&gt;
			&lt;Point&gt;
				&lt;gx:drawOrder&gt;1&lt;/gx:drawOrder&gt;
				&lt;coordinates&gt;-42.75561944444444,-5.007611111111111,0&lt;/coordinates&gt;
			&lt;/Point&gt;
		&lt;/Placemark&gt;
		&lt;Placemark&gt;
			&lt;name&gt;RUA QUATRO CONDOMINIO&lt;/name&gt;
			&lt;styleUrl&gt;#m_ylw-pushpin0&lt;/styleUrl&gt;
			&lt;LineString&gt;
				&lt;tessellate&gt;1&lt;/tessellate&gt;
				&lt;coordinates&gt;
					-42.75687404500607,-5.009718125901869,0 -42.75656554896848,-5.009452002442935,0 -42.75608962949847,-5.009030632459167,0 -42.75544099552761,-5.008445107961739,0 -42.75571251748866,-5.007654489020238,0 
				&lt;/coordinates&gt;
			&lt;/LineString&gt;
		&lt;/Placemark&gt;
		&lt;Placemark&gt;
			&lt;name&gt;  5° 4&amp;apos;9.17&amp;quot;S /  42°36&amp;apos;29.15&amp;quot;O&lt;/name&gt;
			&lt;LookAt&gt;
				&lt;longitude&gt;-42.75638105999567&lt;/longitude&gt;
				&lt;latitude&gt;-5.008179026709978&lt;/latitude&gt;
				&lt;altitude&gt;0&lt;/altitude&gt;
				&lt;heading&gt;4.5457928513581&lt;/heading&gt;
				&lt;tilt&gt;40.87689525325042&lt;/tilt&gt;
				&lt;range&gt;389.0707973941585&lt;/range&gt;
				&lt;gx:altitudeMode&gt;relativeToSeaFloor&lt;/gx:altitudeMode&gt;
			&lt;/LookAt&gt;
			&lt;styleUrl&gt;#m_ylw-pushpin&lt;/styleUrl&gt;
			&lt;Point&gt;
				&lt;gx:drawOrder&gt;1&lt;/gx:drawOrder&gt;
				&lt;coordinates&gt;-42.60809722222223,-5.069213888888888,0&lt;/coordinates&gt;
			&lt;/Point&gt;
		&lt;/Placemark&gt;
		&lt;Placemark&gt;
			&lt;name&gt;  5° 4&amp;apos;24.84&amp;quot;S /  42°36&amp;apos;24.90&amp;quot;O&lt;/name&gt;
			&lt;LookAt&gt;
				&lt;longitude&gt;-42.7135970627868&lt;/longitude&gt;
				&lt;latitude&gt;-5.042007754181588&lt;/latitude&gt;
				&lt;altitude&gt;0&lt;/altitude&gt;
				&lt;heading&gt;4.541995861434626&lt;/heading&gt;
				&lt;tilt&gt;41.21235931025324&lt;/tilt&gt;
				&lt;range&gt;57455.00960917242&lt;/range&gt;
				&lt;gx:altitudeMode&gt;relativeToSeaFloor&lt;/gx:altitudeMode&gt;
			&lt;/LookAt&gt;
			&lt;styleUrl&gt;#m_ylw-pushpin&lt;/styleUrl&gt;
			&lt;Point&gt;
				&lt;gx:drawOrder&gt;1&lt;/gx:drawOrder&gt;
				&lt;coordinates&gt;-42.60691666666667,-5.073566666666666,0&lt;/coordinates&gt;
			&lt;/Point&gt;
		&lt;/Placemark&gt;
		&lt;Placemark&gt;
			&lt;name&gt;RUA PROJETADA 06&lt;/name&gt;
			&lt;styleUrl&gt;#m_ylw-pushpin0&lt;/styleUrl&gt;
			&lt;LineString&gt;
				&lt;tessellate&gt;1&lt;/tessellate&gt;
				&lt;coordinates&gt;
					-42.60693952267125,-5.073590538341072,0 -42.60719422102523,-5.072620332009727,0 -42.60736236943227,-5.071997345291851,0 -42.6075519885744,-5.071275298962205,0 -42.60782534950649,-5.070272153955085,0 -42.6081183104094,-5.069099949386005,0 
				&lt;/coordinates&gt;
			&lt;/LineString&gt;
		&lt;/Placemark&gt;
		&lt;Placemark&gt;
			&lt;name&gt;5° 2&amp;apos;46.91&amp;quot;S / 42°47&amp;apos;26.65&amp;quot;O&lt;/name&gt;
			&lt;LookAt&gt;
				&lt;longitude&gt;-42.60712745313175&lt;/longitude&gt;
				&lt;latitude&gt;-5.072415125779289&lt;/latitude&gt;
				&lt;altitude&gt;0&lt;/altitude&gt;
				&lt;heading&gt;4.590668296687165&lt;/heading&gt;
				&lt;tilt&gt;30.97887438734908&lt;/tilt&gt;
				&lt;range&gt;431.7622987254817&lt;/range&gt;
				&lt;gx:altitudeMode&gt;relativeToSeaFloor&lt;/gx:altitudeMode&gt;
			&lt;/LookAt&gt;
			&lt;styleUrl&gt;#m_ylw-pushpin&lt;/styleUrl&gt;
			&lt;Point&gt;
				&lt;gx:drawOrder&gt;1&lt;/gx:drawOrder&gt;
				&lt;coordinates&gt;-42.79073611111111,-5.046363888888889,0&lt;/coordinates&gt;
			&lt;/Point&gt;
		&lt;/Placemark&gt;
		&lt;Placemark&gt;
			&lt;name&gt;5° 2&amp;apos;59.40&amp;quot;S / 42°47&amp;apos;41.53&amp;quot;O&lt;/name&gt;
			&lt;LookAt&gt;
				&lt;longitude&gt;-42.7935372777134&lt;/longitude&gt;
				&lt;latitude&gt;-5.047033141724343&lt;/latitude&gt;
				&lt;altitude&gt;0&lt;/altitude&gt;
				&lt;heading&gt;4.607388011005101&lt;/heading&gt;
				&lt;tilt&gt;30.99022966548519&lt;/tilt&gt;
				&lt;range&gt;2888.710761393212&lt;/range&gt;
				&lt;gx:altitudeMode&gt;relativeToSeaFloor&lt;/gx:altitudeMode&gt;
			&lt;/LookAt&gt;
			&lt;styleUrl&gt;#m_ylw-pushpin&lt;/styleUrl&gt;
			&lt;Point&gt;
				&lt;gx:drawOrder&gt;1&lt;/gx:drawOrder&gt;
				&lt;coordinates&gt;-42.79486944444444,-5.049833333333333,0&lt;/coordinates&gt;
			&lt;/Point&gt;
		&lt;/Placemark&gt;
		&lt;Placemark&gt;
			&lt;name&gt;RUA PROF. MACHADO LOPES&lt;/name&gt;
			&lt;styleUrl&gt;#m_ylw-pushpin0&lt;/styleUrl&gt;
			&lt;LineString&gt;
				&lt;tessellate&gt;1&lt;/tessellate&gt;
				&lt;coordinates&gt;
					-42.79484954974237,-5.049765496794635,0 -42.79447984999998,-5.049270004534579,0 -42.79394148748607,-5.048759587943942,0 -42.79286508279872,-5.047859096727268,0 -42.7907155452209,-5.046395856327051,0 
				&lt;/coordinates&gt;
			&lt;/LineString&gt;
		&lt;/Placemark&gt;
		&lt;atom:link rel="app" href="https://www.google.com/earth/about/versions/#earth-pro" title="Google Earth Pro 7.3.6.10201"&gt;&lt;/atom:link&gt;
	&lt;/Folder&gt;
&lt;/Document&gt;
&lt;/kml&gt;</t>
  </si>
  <si>
    <t>SASC</t>
  </si>
  <si>
    <t>REFORMA DO ABRIGO “VILA DO ANCIÃO - TERESINA"</t>
  </si>
  <si>
    <t>ZOOBOTÂNICO</t>
  </si>
  <si>
    <t>REFORMAR E ADAPTAR A SEDE DO INSTITUTO DE IDENTIFICAÇÃO DIGITAL FÉLIX PACHECO (IIDFP)</t>
  </si>
  <si>
    <t>NOIVOS</t>
  </si>
  <si>
    <t>&lt;?xml version="1.0" encoding="UTF-8"?&gt;
&lt;kml xmlns="http://www.opengis.net/kml/2.2" xmlns:gx="http://www.google.com/kml/ext/2.2" xmlns:kml="http://www.opengis.net/kml/2.2" xmlns:atom="http://www.w3.org/2005/Atom"&gt;
&lt;Document id="document"&gt;
	&lt;name&gt;Mapa sem título&lt;/name&gt;
	&lt;gx:CascadingStyle kml:id="__managed_style_0FE6CCFB5C3F13D150E3_highlight"&gt;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kml:id="__managed_style_0FE6CCFB5C3F13D150E3_normal"&gt;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id="__managed_style_0FE6CCFB5C3F13D150E3"&gt;
		&lt;Pair&gt;
			&lt;key&gt;normal&lt;/key&gt;
			&lt;styleUrl&gt;#__managed_style_0FE6CCFB5C3F13D150E3_normal&lt;/styleUrl&gt;
		&lt;/Pair&gt;
		&lt;Pair&gt;
			&lt;key&gt;highlight&lt;/key&gt;
			&lt;styleUrl&gt;#__managed_style_0FE6CCFB5C3F13D150E3_highlight&lt;/styleUrl&gt;
		&lt;/Pair&gt;
	&lt;/StyleMap&gt;
	&lt;Placemark id="04D5EE06C83F13D15071"&gt;
		&lt;gx:mid&gt;/g/11l38z18hp&lt;/gx:mid&gt;
		&lt;gx:fid&gt;0x78e39dcb5d8565f:0xda2442ff887724dc&lt;/gx:fid&gt;
		&lt;LookAt&gt;
			&lt;longitude&gt;-42.7900463&lt;/longitude&gt;
			&lt;latitude&gt;-5.085260600000001&lt;/latitude&gt;
			&lt;altitude&gt;0&lt;/altitude&gt;
			&lt;heading&gt;0&lt;/heading&gt;
			&lt;tilt&gt;0&lt;/tilt&gt;
			&lt;gx:fovy&gt;35&lt;/gx:fovy&gt;
			&lt;range&gt;1051.887083656514&lt;/range&gt;
			&lt;altitudeMode&gt;relativeToGround&lt;/altitudeMode&gt;
		&lt;/LookAt&gt;
		&lt;styleUrl&gt;#__managed_style_0FE6CCFB5C3F13D150E3&lt;/styleUrl&gt;
		&lt;Point&gt;
			&lt;altitudeMode&gt;relativeToGround&lt;/altitudeMode&gt;
			&lt;coordinates&gt;-42.7900463,-5.0852606,0&lt;/coordinates&gt;
		&lt;/Point&gt;
	&lt;/Placemark&gt;
&lt;/Document&gt;
&lt;/kml&gt;</t>
  </si>
  <si>
    <t>CONSTRUÇÃO DO CENTRO DE CONVIVÊNCIA TORQUATO NETO - OPA</t>
  </si>
  <si>
    <t>SÃO RAIMUNDO,SÃO JOÃO,ESPLANADA,ANGELIM,PROMORAR,SANTO ANTÔNIO,PARQUE PIAUÍ,TRIUNFO,MORADA NOVA,TABULETA,CIDADE NOVA,MACAÚBA,MONTE CASTELO,CRISTO REI,LOURIVAL PARENTE,TRÊS ANDARES,BRASILAR,PARQUE JACINTA,PEDRA MIÚDA,PORTO DA ALEGRIA,REDENÇÃO</t>
  </si>
  <si>
    <t>SUDESTE,LESTE,SUL</t>
  </si>
  <si>
    <t>&lt;?xml version="1.0" encoding="UTF-8"?&gt;
&lt;kml xmlns="http://www.opengis.net/kml/2.2" xmlns:gx="http://www.google.com/kml/ext/2.2" xmlns:kml="http://www.opengis.net/kml/2.2" xmlns:atom="http://www.w3.org/2005/Atom"&gt;
&lt;Document&gt;
	&lt;name&gt;Projeto sem título&lt;/name&gt;
	&lt;gx:CascadingStyle kml:id="__managed_style_04FB2A4DF93870A5BB07"&gt;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&lt;width&gt;3&lt;/width&gt;
			&lt;/LineStyle&gt;
			&lt;PolyStyle&gt;
				&lt;color&gt;40ffffff&lt;/color&gt;
			&lt;/PolyStyle&gt;
			&lt;BalloonStyle&gt;
				&lt;displayMode&gt;hide&lt;/displayMode&gt;
			&lt;/BalloonStyle&gt;
		&lt;/Style&gt;
	&lt;/gx:CascadingStyle&gt;
	&lt;gx:CascadingStyle kml:id="__managed_style_1F5A7120BE3870A5BB06"&gt;
		&lt;Style&gt;
			&lt;IconStyle&gt;
				&lt;Icon&gt;
					&lt;href&gt;https://earth.google.com/earth/document/icon?color=1976d2&amp;amp;id=2000&amp;amp;scale=4&lt;/href&gt;
				&lt;/Icon&gt;
				&lt;hotSpot x="64" y="128" xunits="pixels" yunits="insetPixels"/&gt;
			&lt;/IconStyle&gt;
			&lt;LabelStyle&gt;
			&lt;/LabelStyle&gt;
			&lt;LineStyle&gt;
				&lt;color&gt;ff2dc0fb&lt;/color&gt;
				&lt;width&gt;2&lt;/width&gt;
			&lt;/LineStyle&gt;
			&lt;PolyStyle&gt;
				&lt;color&gt;40ffffff&lt;/color&gt;
			&lt;/PolyStyle&gt;
			&lt;BalloonStyle&gt;
				&lt;displayMode&gt;hide&lt;/displayMode&gt;
			&lt;/BalloonStyle&gt;
		&lt;/Style&gt;
	&lt;/gx:CascadingStyle&gt;
	&lt;StyleMap id="__managed_style_0AB0E3933E3870A5BB06"&gt;
		&lt;Pair&gt;
			&lt;key&gt;normal&lt;/key&gt;
			&lt;styleUrl&gt;#__managed_style_1F5A7120BE3870A5BB06&lt;/styleUrl&gt;
		&lt;/Pair&gt;
		&lt;Pair&gt;
			&lt;key&gt;highlight&lt;/key&gt;
			&lt;styleUrl&gt;#__managed_style_04FB2A4DF93870A5BB07&lt;/styleUrl&gt;
		&lt;/Pair&gt;
	&lt;/StyleMap&gt;
	&lt;Placemark id="035DBEE5E43870A5BB00"&gt;
		&lt;name&gt;TORQUATO NETO&lt;/name&gt;
		&lt;LookAt&gt;
			&lt;longitude&gt;-42.73874500471813&lt;/longitude&gt;
			&lt;latitude&gt;-5.186763118665093&lt;/latitude&gt;
			&lt;altitude&gt;93.03946372742584&lt;/altitude&gt;
			&lt;heading&gt;359.5002740080907&lt;/heading&gt;
			&lt;tilt&gt;0&lt;/tilt&gt;
			&lt;gx:fovy&gt;35&lt;/gx:fovy&gt;
			&lt;range&gt;191.2189494891936&lt;/range&gt;
			&lt;altitudeMode&gt;absolute&lt;/altitudeMode&gt;
		&lt;/LookAt&gt;
		&lt;styleUrl&gt;#__managed_style_0AB0E3933E3870A5BB06&lt;/styleUrl&gt;
		&lt;Point&gt;
			&lt;coordinates&gt;-42.7385221965899,-5.186867527610523,93.01901423364833&lt;/coordinates&gt;
		&lt;/Point&gt;
	&lt;/Placemark&gt;
	&lt;Placemark id="0374E64E323870A9B1CC"&gt;
		&lt;name&gt;Caminho sem título&lt;/name&gt;
		&lt;LookAt&gt;
			&lt;longitude&gt;-42.76515027281975&lt;/longitude&gt;
			&lt;latitude&gt;-5.085809053536159&lt;/latitude&gt;
			&lt;altitude&gt;66.29275268207059&lt;/altitude&gt;
			&lt;heading&gt;359.5002624812216&lt;/heading&gt;
			&lt;tilt&gt;0&lt;/tilt&gt;
			&lt;gx:fovy&gt;35&lt;/gx:fovy&gt;
			&lt;range&gt;9510.598960791249&lt;/range&gt;
			&lt;altitudeMode&gt;absolute&lt;/altitudeMode&gt;
		&lt;/LookAt&gt;
		&lt;styleUrl&gt;#__managed_style_0AB0E3933E3870A5BB06&lt;/styleUrl&gt;
		&lt;LineString&gt;
			&lt;coordinates&gt;
				-42.73831632041567,-5.186942921853574,0 -42.74575305381624,-5.196821122419441,0 -42.74927272759431,-5.196841063758267,0 -42.74885079068792,-5.187728674229614,0 -42.74914038352068,-5.187238277085554,0 -42.76090094499946,-5.190898535410211,0 -42.7749433986755,-5.145848017620794,0 -42.78844645451353,-5.137827471722969,0 -42.79828004751682,-5.117023780943211,0 -42.78290861024886,-5.108593278581272,0 -42.7812139112787,-5.107404325839154,0 -42.77727085752911,-5.106912707986588,0 -42.775957942693,-5.101149335260228,0 -42.77753266906166,-5.094772451307819,0 -42.77703624268,-5.092784851881446,0 -42.77470486838823,-5.089128095858526,0 -42.77677816964663,-5.08122955061939,0 -42.773177925088,-5.081655517126481,0 -42.77323000498973,-5.082108629583292,0 
			&lt;/coordinates&gt;
		&lt;/LineString&gt;
	&lt;/Placemark&gt;
&lt;/Document&gt;
&lt;/kml&gt;</t>
  </si>
  <si>
    <t>PAVIMENTAÇÃO EM PARALELEPÍPEDO 15.910,50M² NO MUNICÍPIO DE TERESINA-PI CONTRATO 95/2024</t>
  </si>
  <si>
    <t>URUGUAI,PORTO DO CENTRO,VALE DO GAVIÃO,MORROS,PEDRA MOLE,VERDE LAR,ANGELIM</t>
  </si>
  <si>
    <t>LESTE,SUL</t>
  </si>
  <si>
    <t>&lt;?xml version="1.0" encoding="UTF-8"?&gt;
&lt;kml xmlns="http://www.opengis.net/kml/2.2" xmlns:gx="http://www.google.com/kml/ext/2.2" xmlns:kml="http://www.opengis.net/kml/2.2" xmlns:atom="http://www.w3.org/2005/Atom"&gt;
&lt;Document&gt;
	&lt;name&gt;TERESINA PI.kmz&lt;/name&gt;
	&lt;StyleMap id="m_ylw-pushpin"&gt;
		&lt;Pair&gt;
			&lt;key&gt;normal&lt;/key&gt;
			&lt;styleUrl&gt;#s_ylw-pushpin&lt;/styleUrl&gt;
		&lt;/Pair&gt;
		&lt;Pair&gt;
			&lt;key&gt;highlight&lt;/key&gt;
			&lt;styleUrl&gt;#s_ylw-pushpin_hl&lt;/styleUrl&gt;
		&lt;/Pair&gt;
	&lt;/StyleMap&gt;
	&lt;StyleMap id="m_ylw-pushpin0"&gt;
		&lt;Pair&gt;
			&lt;key&gt;normal&lt;/key&gt;
			&lt;styleUrl&gt;#s_ylw-pushpin0&lt;/styleUrl&gt;
		&lt;/Pair&gt;
		&lt;Pair&gt;
			&lt;key&gt;highlight&lt;/key&gt;
			&lt;styleUrl&gt;#s_ylw-pushpin_hl0&lt;/styleUrl&gt;
		&lt;/Pair&gt;
	&lt;/StyleMap&gt;
	&lt;Style id="s_ylw-pushpin"&gt;
		&lt;IconStyle&gt;
			&lt;scale&gt;1.1&lt;/scale&gt;
			&lt;Icon&gt;
				&lt;href&gt;http://maps.google.com/mapfiles/kml/pushpin/ylw-pushpin.png&lt;/href&gt;
			&lt;/Icon&gt;
			&lt;hotSpot x="20" y="2" xunits="pixels" yunits="pixels"/&gt;
		&lt;/IconStyle&gt;
		&lt;LineStyle&gt;
			&lt;color&gt;ff0000ff&lt;/color&gt;
			&lt;width&gt;5&lt;/width&gt;
		&lt;/LineStyle&gt;
	&lt;/Style&gt;
	&lt;Style id="s_ylw-pushpin0"&gt;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&lt;LineStyle&gt;
			&lt;color&gt;ff0000ff&lt;/color&gt;
			&lt;width&gt;5&lt;/width&gt;
		&lt;/LineStyle&gt;
	&lt;/Style&gt;
	&lt;Style id="s_ylw-pushpin_hl0"&gt;
		&lt;IconStyle&gt;
			&lt;scale&gt;1.3&lt;/scale&gt;
			&lt;Icon&gt;
				&lt;href&gt;http://maps.google.com/mapfiles/kml/pushpin/ylw-pushpin.png&lt;/href&gt;
			&lt;/Icon&gt;
			&lt;hotSpot x="20" y="2" xunits="pixels" yunits="pixels"/&gt;
		&lt;/IconStyle&gt;
	&lt;/Style&gt;
	&lt;Folder&gt;
		&lt;name&gt;TERESINA PI&lt;/name&gt;
		&lt;open&gt;1&lt;/open&gt;
		&lt;Placemark&gt;
			&lt;name&gt;PROJETADA 03 - INICIO&lt;/name&gt;
			&lt;LookAt&gt;
				&lt;longitude&gt;-42.75470395012843&lt;/longitude&gt;
				&lt;latitude&gt;-5.041386994815842&lt;/latitude&gt;
				&lt;altitude&gt;0&lt;/altitude&gt;
				&lt;heading&gt;-0.01214583669666068&lt;/heading&gt;
				&lt;tilt&gt;26.48800428737143&lt;/tilt&gt;
				&lt;range&gt;876.0007149999122&lt;/range&gt;
				&lt;gx:altitudeMode&gt;relativeToSeaFloor&lt;/gx:altitudeMode&gt;
			&lt;/LookAt&gt;
			&lt;styleUrl&gt;#m_ylw-pushpin0&lt;/styleUrl&gt;
			&lt;Point&gt;
				&lt;gx:drawOrder&gt;1&lt;/gx:drawOrder&gt;
				&lt;coordinates&gt;-42.75729722222222,-5.041366666666667,0&lt;/coordinates&gt;
			&lt;/Point&gt;
		&lt;/Placemark&gt;
		&lt;Placemark&gt;
			&lt;name&gt;PROJETADA 03 - FIM&lt;/name&gt;
			&lt;LookAt&gt;
				&lt;longitude&gt;-42.75685208448351&lt;/longitude&gt;
				&lt;latitude&gt;-5.04056598452375&lt;/latitude&gt;
				&lt;altitude&gt;0&lt;/altitude&gt;
				&lt;heading&gt;-0.01174696536474105&lt;/heading&gt;
				&lt;tilt&gt;30.00185776205642&lt;/tilt&gt;
				&lt;range&gt;413.6421946041798&lt;/range&gt;
				&lt;gx:altitudeMode&gt;relativeToSeaFloor&lt;/gx:altitudeMode&gt;
			&lt;/LookAt&gt;
			&lt;styleUrl&gt;#m_ylw-pushpin0&lt;/styleUrl&gt;
			&lt;Point&gt;
				&lt;gx:drawOrder&gt;1&lt;/gx:drawOrder&gt;
				&lt;coordinates&gt;-42.75670555555556,-5.041430555555555,0&lt;/coordinates&gt;
			&lt;/Point&gt;
		&lt;/Placemark&gt;
		&lt;Placemark&gt;
			&lt;name&gt;PROJETADA 03&lt;/name&gt;
			&lt;styleUrl&gt;#m_ylw-pushpin&lt;/styleUrl&gt;
			&lt;LineString&gt;
				&lt;tessellate&gt;1&lt;/tessellate&gt;
				&lt;coordinates&gt;
					-42.75729567555933,-5.041365400221675,0 -42.75669879739085,-5.041420555618967,0 
				&lt;/coordinates&gt;
			&lt;/LineString&gt;
		&lt;/Placemark&gt;
		&lt;Placemark&gt;
			&lt;name&gt;RUA BENJAMIM MARTINS - INICIO&lt;/name&gt;
			&lt;LookAt&gt;
				&lt;longitude&gt;-42.75592921976803&lt;/longitude&gt;
				&lt;latitude&gt;-5.044405460387348&lt;/latitude&gt;
				&lt;altitude&gt;0&lt;/altitude&gt;
				&lt;heading&gt;172.1701294749917&lt;/heading&gt;
				&lt;tilt&gt;2.871621515699486&lt;/tilt&gt;
				&lt;range&gt;742.0419098177423&lt;/range&gt;
				&lt;gx:altitudeMode&gt;relativeToSeaFloor&lt;/gx:altitudeMode&gt;
			&lt;/LookAt&gt;
			&lt;styleUrl&gt;#m_ylw-pushpin0&lt;/styleUrl&gt;
			&lt;Point&gt;
				&lt;gx:drawOrder&gt;1&lt;/gx:drawOrder&gt;
				&lt;coordinates&gt;-42.75607222222222,-5.042308333333334,0&lt;/coordinates&gt;
			&lt;/Point&gt;
		&lt;/Placemark&gt;
		&lt;Placemark&gt;
			&lt;name&gt;RUA BENJAMIM MARTINS - FIM&lt;/name&gt;
			&lt;LookAt&gt;
				&lt;longitude&gt;-42.75589760873811&lt;/longitude&gt;
				&lt;latitude&gt;-5.043912751410103&lt;/latitude&gt;
				&lt;altitude&gt;0&lt;/altitude&gt;
				&lt;heading&gt;172.1990843385427&lt;/heading&gt;
				&lt;tilt&gt;12.41335139620199&lt;/tilt&gt;
				&lt;range&gt;430.9136518781745&lt;/range&gt;
				&lt;gx:altitudeMode&gt;relativeToSeaFloor&lt;/gx:altitudeMode&gt;
			&lt;/LookAt&gt;
			&lt;styleUrl&gt;#m_ylw-pushpin0&lt;/styleUrl&gt;
			&lt;Point&gt;
				&lt;gx:drawOrder&gt;1&lt;/gx:drawOrder&gt;
				&lt;coordinates&gt;-42.75603611111111,-5.041905555555555,0&lt;/coordinates&gt;
			&lt;/Point&gt;
		&lt;/Placemark&gt;
		&lt;Placemark&gt;
			&lt;name&gt;RUA BENJAMIM MARTINS&lt;/name&gt;
			&lt;styleUrl&gt;#m_ylw-pushpin&lt;/styleUrl&gt;
			&lt;LineString&gt;
				&lt;tessellate&gt;1&lt;/tessellate&gt;
				&lt;coordinates&gt;
					-42.75604228828259,-5.041905699010973,0 -42.75606736135144,-5.042309931502298,0 
				&lt;/coordinates&gt;
			&lt;/LineString&gt;
		&lt;/Placemark&gt;
		&lt;Placemark&gt;
			&lt;name&gt;PROJETADA 02 - INICIO&lt;/name&gt;
			&lt;LookAt&gt;
				&lt;longitude&gt;-42.75533041292446&lt;/longitude&gt;
				&lt;latitude&gt;-5.045854418747925&lt;/latitude&gt;
				&lt;altitude&gt;0&lt;/altitude&gt;
				&lt;heading&gt;172.197399250081&lt;/heading&gt;
				&lt;tilt&gt;10.7646221977294&lt;/tilt&gt;
				&lt;range&gt;1197.079171556271&lt;/range&gt;
				&lt;gx:altitudeMode&gt;relativeToSeaFloor&lt;/gx:altitudeMode&gt;
			&lt;/LookAt&gt;
			&lt;styleUrl&gt;#m_ylw-pushpin0&lt;/styleUrl&gt;
			&lt;Point&gt;
				&lt;gx:drawOrder&gt;1&lt;/gx:drawOrder&gt;
				&lt;coordinates&gt;-42.75543055555556,-5.044311111111111,0&lt;/coordinates&gt;
			&lt;/Point&gt;
		&lt;/Placemark&gt;
		&lt;Placemark&gt;
			&lt;name&gt;PROJETADA 02 - FIM&lt;/name&gt;
			&lt;LookAt&gt;
				&lt;longitude&gt;-42.75533041292446&lt;/longitude&gt;
				&lt;latitude&gt;-5.045854418747925&lt;/latitude&gt;
				&lt;altitude&gt;0&lt;/altitude&gt;
				&lt;heading&gt;172.197399250081&lt;/heading&gt;
				&lt;tilt&gt;10.7646221977294&lt;/tilt&gt;
				&lt;range&gt;1197.079171556271&lt;/range&gt;
				&lt;gx:altitudeMode&gt;relativeToSeaFloor&lt;/gx:altitudeMode&gt;
			&lt;/LookAt&gt;
			&lt;styleUrl&gt;#m_ylw-pushpin0&lt;/styleUrl&gt;
			&lt;Point&gt;
				&lt;gx:drawOrder&gt;1&lt;/gx:drawOrder&gt;
				&lt;coordinates&gt;-42.75544444444444,-5.043322222222222,0&lt;/coordinates&gt;
			&lt;/Point&gt;
		&lt;/Placemark&gt;
		&lt;Placemark&gt;
			&lt;name&gt;PROJETADA 02&lt;/name&gt;
			&lt;styleUrl&gt;#m_ylw-pushpin&lt;/styleUrl&gt;
			&lt;LineString&gt;
				&lt;tessellate&gt;1&lt;/tessellate&gt;
				&lt;coordinates&gt;
					-42.75544138125325,-5.04331766578411,0 -42.75541480106496,-5.04363350258471,0 -42.75543163086617,-5.04431106352565,0 
				&lt;/coordinates&gt;
			&lt;/LineString&gt;
		&lt;/Placemark&gt;
		&lt;Placemark&gt;
			&lt;name&gt;PROJETADA 04 - INICIO&lt;/name&gt;
			&lt;LookAt&gt;
				&lt;longitude&gt;-42.75732488005323&lt;/longitude&gt;
				&lt;latitude&gt;-5.048019379694935&lt;/latitude&gt;
				&lt;altitude&gt;0&lt;/altitude&gt;
				&lt;heading&gt;166.9233871853414&lt;/heading&gt;
				&lt;tilt&gt;0.3828783113328745&lt;/tilt&gt;
				&lt;range&gt;2426.25391139824&lt;/range&gt;
				&lt;gx:altitudeMode&gt;relativeToSeaFloor&lt;/gx:altitudeMode&gt;
			&lt;/LookAt&gt;
			&lt;styleUrl&gt;#m_ylw-pushpin0&lt;/styleUrl&gt;
			&lt;Point&gt;
				&lt;gx:drawOrder&gt;1&lt;/gx:drawOrder&gt;
				&lt;coordinates&gt;-42.75910277777778,-5.041347222222222,0&lt;/coordinates&gt;
			&lt;/Point&gt;
		&lt;/Placemark&gt;
		&lt;Placemark&gt;
			&lt;name&gt;PROJETADA 04 - FIM&lt;/name&gt;
			&lt;LookAt&gt;
				&lt;longitude&gt;-42.75732488005323&lt;/longitude&gt;
				&lt;latitude&gt;-5.048019379694935&lt;/latitude&gt;
				&lt;altitude&gt;0&lt;/altitude&gt;
				&lt;heading&gt;166.9233871853414&lt;/heading&gt;
				&lt;tilt&gt;0.3828783113328745&lt;/tilt&gt;
				&lt;range&gt;2426.25391139824&lt;/range&gt;
				&lt;gx:altitudeMode&gt;relativeToSeaFloor&lt;/gx:altitudeMode&gt;
			&lt;/LookAt&gt;
			&lt;styleUrl&gt;#m_ylw-pushpin0&lt;/styleUrl&gt;
			&lt;Point&gt;
				&lt;gx:drawOrder&gt;1&lt;/gx:drawOrder&gt;
				&lt;coordinates&gt;-42.75818055555555,-5.041330555555556,0&lt;/coordinates&gt;
			&lt;/Point&gt;
		&lt;/Placemark&gt;
		&lt;Placemark&gt;
			&lt;name&gt;PROJETADA 04&lt;/name&gt;
			&lt;styleUrl&gt;#m_ylw-pushpin&lt;/styleUrl&gt;
			&lt;LineString&gt;
				&lt;tessellate&gt;1&lt;/tessellate&gt;
				&lt;coordinates&gt;
					-42.75817527882771,-5.041334857725314,0 -42.75840431689016,-5.041308943218105,0 -42.75863858491215,-5.04131125105822,0 -42.75884887632476,-5.041333718002114,0 -42.75895827635875,-5.041336879511819,0 -42.75910011521687,-5.04135102926537,0 
				&lt;/coordinates&gt;
			&lt;/LineString&gt;
		&lt;/Placemark&gt;
		&lt;Placemark&gt;
			&lt;name&gt;PROJETADA 05 - INICIO&lt;/name&gt;
			&lt;LookAt&gt;
				&lt;longitude&gt;-42.75843702796163&lt;/longitude&gt;
				&lt;latitude&gt;-5.040624124676916&lt;/latitude&gt;
				&lt;altitude&gt;0&lt;/altitude&gt;
				&lt;heading&gt;167.3386590122229&lt;/heading&gt;
				&lt;tilt&gt;23.79524281019249&lt;/tilt&gt;
				&lt;range&gt;568.1785125601215&lt;/range&gt;
				&lt;gx:altitudeMode&gt;relativeToSeaFloor&lt;/gx:altitudeMode&gt;
			&lt;/LookAt&gt;
			&lt;styleUrl&gt;#m_ylw-pushpin0&lt;/styleUrl&gt;
			&lt;Point&gt;
				&lt;gx:drawOrder&gt;1&lt;/gx:drawOrder&gt;
				&lt;coordinates&gt;-42.75661666666667,-5.039652777777778,0&lt;/coordinates&gt;
			&lt;/Point&gt;
		&lt;/Placemark&gt;
		&lt;Placemark&gt;
			&lt;name&gt;PROJETADA 05 - FIM&lt;/name&gt;
			&lt;LookAt&gt;
				&lt;longitude&gt;-42.75785811764086&lt;/longitude&gt;
				&lt;latitude&gt;-5.040359652437711&lt;/latitude&gt;
				&lt;altitude&gt;0&lt;/altitude&gt;
				&lt;heading&gt;167.3387435865893&lt;/heading&gt;
				&lt;tilt&gt;24.24537826892955&lt;/tilt&gt;
				&lt;range&gt;383.1268594098233&lt;/range&gt;
				&lt;gx:altitudeMode&gt;relativeToSeaFloor&lt;/gx:altitudeMode&gt;
			&lt;/LookAt&gt;
			&lt;styleUrl&gt;#m_ylw-pushpin0&lt;/styleUrl&gt;
			&lt;Point&gt;
				&lt;gx:drawOrder&gt;1&lt;/gx:drawOrder&gt;
				&lt;coordinates&gt;-42.75579722222222,-5.039716666666666,0&lt;/coordinates&gt;
			&lt;/Point&gt;
		&lt;/Placemark&gt;
		&lt;Placemark&gt;
			&lt;name&gt;PROJETADA 05&lt;/name&gt;
			&lt;styleUrl&gt;#m_ylw-pushpin&lt;/styleUrl&gt;
			&lt;LineString&gt;
				&lt;tessellate&gt;1&lt;/tessellate&gt;
				&lt;coordinates&gt;
					-42.75660187070464,-5.039650509973674,0 -42.75579418835103,-5.039706261989744,0 
				&lt;/coordinates&gt;
			&lt;/LineString&gt;
		&lt;/Placemark&gt;
		&lt;Placemark&gt;
			&lt;name&gt;RUA MAURO ALMEIDA - INICIO&lt;/name&gt;
			&lt;LookAt&gt;
				&lt;longitude&gt;-42.75484511713669&lt;/longitude&gt;
				&lt;latitude&gt;-5.042419969737019&lt;/latitude&gt;
				&lt;altitude&gt;0&lt;/altitude&gt;
				&lt;heading&gt;167.3371780256541&lt;/heading&gt;
				&lt;tilt&gt;19.22132770056541&lt;/tilt&gt;
				&lt;range&gt;1078.801385484168&lt;/range&gt;
				&lt;gx:altitudeMode&gt;relativeToSeaFloor&lt;/gx:altitudeMode&gt;
			&lt;/LookAt&gt;
			&lt;styleUrl&gt;#m_ylw-pushpin0&lt;/styleUrl&gt;
			&lt;Point&gt;
				&lt;gx:drawOrder&gt;1&lt;/gx:drawOrder&gt;
				&lt;coordinates&gt;-42.75897777777778,-5.043116666666666,0&lt;/coordinates&gt;
			&lt;/Point&gt;
		&lt;/Placemark&gt;
		&lt;Placemark&gt;
			&lt;name&gt;RUA MAURO ALMEIDA - FIM&lt;/name&gt;
			&lt;LookAt&gt;
				&lt;longitude&gt;-42.75484511713669&lt;/longitude&gt;
				&lt;latitude&gt;-5.042419969737019&lt;/latitude&gt;
				&lt;altitude&gt;0&lt;/altitude&gt;
				&lt;heading&gt;167.3371780256541&lt;/heading&gt;
				&lt;tilt&gt;19.22132770056541&lt;/tilt&gt;
				&lt;range&gt;1078.801385484168&lt;/range&gt;
				&lt;gx:altitudeMode&gt;relativeToSeaFloor&lt;/gx:altitudeMode&gt;
			&lt;/LookAt&gt;
			&lt;styleUrl&gt;#m_ylw-pushpin0&lt;/styleUrl&gt;
			&lt;Point&gt;
				&lt;gx:drawOrder&gt;1&lt;/gx:drawOrder&gt;
				&lt;coordinates&gt;-42.75820555555556,-5.043152777777777,0&lt;/coordinates&gt;
			&lt;/Point&gt;
		&lt;/Placemark&gt;
		&lt;Placemark&gt;
			&lt;name&gt;RUA MAURO ALMEIDA &lt;/name&gt;
			&lt;styleUrl&gt;#m_ylw-pushpin&lt;/styleUrl&gt;
			&lt;LineString&gt;
				&lt;tessellate&gt;1&lt;/tessellate&gt;
				&lt;coordinates&gt;
					-42.75897752859298,-5.04311965868184,0 -42.75819651944477,-5.043151723213311,0 
				&lt;/coordinates&gt;
			&lt;/LineString&gt;
		&lt;/Placemark&gt;
		&lt;Placemark&gt;
			&lt;name&gt;R. ABENÇOADO DE JESUS - INICIO&lt;/name&gt;
			&lt;LookAt&gt;
				&lt;longitude&gt;-42.75817456076436&lt;/longitude&gt;
				&lt;latitude&gt;-5.043310262042069&lt;/latitude&gt;
				&lt;altitude&gt;0&lt;/altitude&gt;
				&lt;heading&gt;167.3380391448391&lt;/heading&gt;
				&lt;tilt&gt;20.90093185900519&lt;/tilt&gt;
				&lt;range&gt;229.1087294695553&lt;/range&gt;
				&lt;gx:altitudeMode&gt;relativeToSeaFloor&lt;/gx:altitudeMode&gt;
			&lt;/LookAt&gt;
			&lt;styleUrl&gt;#m_ylw-pushpin0&lt;/styleUrl&gt;
			&lt;Point&gt;
				&lt;gx:drawOrder&gt;1&lt;/gx:drawOrder&gt;
				&lt;coordinates&gt;-42.782525,-5.170880555555556,0&lt;/coordinates&gt;
			&lt;/Point&gt;
		&lt;/Placemark&gt;
		&lt;Placemark&gt;
			&lt;name&gt;R. ABENÇOADO DE JESUS - FIM&lt;/name&gt;
			&lt;LookAt&gt;
				&lt;longitude&gt;-42.75900083667968&lt;/longitude&gt;
				&lt;latitude&gt;-5.043172680289375&lt;/latitude&gt;
				&lt;altitude&gt;0&lt;/altitude&gt;
				&lt;heading&gt;-126.5012041123194&lt;/heading&gt;
				&lt;tilt&gt;16.96850981516397&lt;/tilt&gt;
				&lt;range&gt;1472.450823831068&lt;/range&gt;
				&lt;gx:altitudeMode&gt;relativeToSeaFloor&lt;/gx:altitudeMode&gt;
			&lt;/LookAt&gt;
			&lt;styleUrl&gt;#m_ylw-pushpin0&lt;/styleUrl&gt;
			&lt;Point&gt;
				&lt;gx:drawOrder&gt;1&lt;/gx:drawOrder&gt;
				&lt;coordinates&gt;-42.78048611111111,-5.170533333333333,0&lt;/coordinates&gt;
			&lt;/Point&gt;
		&lt;/Placemark&gt;
		&lt;Placemark&gt;
			&lt;name&gt;R. ABENÇOADO DE JESUS&lt;/name&gt;
			&lt;styleUrl&gt;#m_ylw-pushpin&lt;/styleUrl&gt;
			&lt;LineString&gt;
				&lt;tessellate&gt;1&lt;/tessellate&gt;
				&lt;coordinates&gt;
					-42.78048278761359,-5.170540732151117,0 -42.78108756555173,-5.170735228145015,0 -42.78149228837506,-5.170829173674811,0 -42.78176525057015,-5.170867523400424,0 -42.78200139965869,-5.170855348329844,0 -42.78226782486261,-5.170818362499292,0 -42.78243988695445,-5.170837048948129,0 -42.78253231593649,-5.17088265478553,0 
				&lt;/coordinates&gt;
			&lt;/LineString&gt;
		&lt;/Placemark&gt;
		&lt;Placemark&gt;
			&lt;name&gt;RUA BURITIRANA - INICIO&lt;/name&gt;
			&lt;LookAt&gt;
				&lt;longitude&gt;-42.78210515009426&lt;/longitude&gt;
				&lt;latitude&gt;-5.17220498193461&lt;/latitude&gt;
				&lt;altitude&gt;0&lt;/altitude&gt;
				&lt;heading&gt;-106.1360247748951&lt;/heading&gt;
				&lt;tilt&gt;21.42671716929941&lt;/tilt&gt;
				&lt;range&gt;622.9454419514537&lt;/range&gt;
				&lt;gx:altitudeMode&gt;relativeToSeaFloor&lt;/gx:altitudeMode&gt;
			&lt;/LookAt&gt;
			&lt;styleUrl&gt;#m_ylw-pushpin0&lt;/styleUrl&gt;
			&lt;Point&gt;
				&lt;gx:drawOrder&gt;1&lt;/gx:drawOrder&gt;
				&lt;coordinates&gt;-42.79837777777777,-4.961497222222222,0&lt;/coordinates&gt;
			&lt;/Point&gt;
		&lt;/Placemark&gt;
		&lt;Placemark&gt;
			&lt;name&gt;RUA BURITIRANA - FIM&lt;/name&gt;
			&lt;LookAt&gt;
				&lt;longitude&gt;-42.80196232418359&lt;/longitude&gt;
				&lt;latitude&gt;-4.959312058811078&lt;/latitude&gt;
				&lt;altitude&gt;0&lt;/altitude&gt;
				&lt;heading&gt;-106.1062066867928&lt;/heading&gt;
				&lt;tilt&gt;18.77183297239235&lt;/tilt&gt;
				&lt;range&gt;1580.233782843191&lt;/range&gt;
				&lt;gx:altitudeMode&gt;relativeToSeaFloor&lt;/gx:altitudeMode&gt;
			&lt;/LookAt&gt;
			&lt;styleUrl&gt;#m_ylw-pushpin0&lt;/styleUrl&gt;
			&lt;Point&gt;
				&lt;gx:drawOrder&gt;1&lt;/gx:drawOrder&gt;
				&lt;coordinates&gt;-42.79641944444445,-4.961652777777778,0&lt;/coordinates&gt;
			&lt;/Point&gt;
		&lt;/Placemark&gt;
		&lt;Placemark&gt;
			&lt;name&gt;RUA BURITIRANA&lt;/name&gt;
			&lt;styleUrl&gt;#m_ylw-pushpin&lt;/styleUrl&gt;
			&lt;LineString&gt;
				&lt;tessellate&gt;1&lt;/tessellate&gt;
				&lt;coordinates&gt;
					-42.7964293899932,-4.961644653747736,0 -42.79721243698597,-4.961583711400817,0 -42.79839258536221,-4.961496189084396,0 
				&lt;/coordinates&gt;
			&lt;/LineString&gt;
		&lt;/Placemark&gt;
		&lt;Placemark&gt;
			&lt;name&gt;RUA APOLO XII - INICIO&lt;/name&gt;
			&lt;LookAt&gt;
				&lt;longitude&gt;-42.79866535289187&lt;/longitude&gt;
				&lt;latitude&gt;-4.961049747124261&lt;/latitude&gt;
				&lt;altitude&gt;0&lt;/altitude&gt;
				&lt;heading&gt;-106.1910315945119&lt;/heading&gt;
				&lt;tilt&gt;29.40417168525966&lt;/tilt&gt;
				&lt;range&gt;511.9468942515223&lt;/range&gt;
				&lt;gx:altitudeMode&gt;relativeToSeaFloor&lt;/gx:altitudeMode&gt;
			&lt;/LookAt&gt;
			&lt;styleUrl&gt;#m_ylw-pushpin0&lt;/styleUrl&gt;
			&lt;Point&gt;
				&lt;gx:drawOrder&gt;1&lt;/gx:drawOrder&gt;
				&lt;coordinates&gt;-42.73116666666667,-5.052772222222222,0&lt;/coordinates&gt;
			&lt;/Point&gt;
		&lt;/Placemark&gt;
		&lt;Placemark&gt;
			&lt;name&gt;RUA APOLO XII - FIM &lt;/name&gt;
			&lt;LookAt&gt;
				&lt;longitude&gt;-42.73354273905375&lt;/longitude&gt;
				&lt;latitude&gt;-5.053546571432842&lt;/latitude&gt;
				&lt;altitude&gt;0&lt;/altitude&gt;
				&lt;heading&gt;-106.1370289951317&lt;/heading&gt;
				&lt;tilt&gt;20.95282926270318&lt;/tilt&gt;
				&lt;range&gt;919.2423578489897&lt;/range&gt;
				&lt;gx:altitudeMode&gt;relativeToSeaFloor&lt;/gx:altitudeMode&gt;
			&lt;/LookAt&gt;
			&lt;styleUrl&gt;#m_ylw-pushpin0&lt;/styleUrl&gt;
			&lt;Point&gt;
				&lt;gx:drawOrder&gt;1&lt;/gx:drawOrder&gt;
				&lt;coordinates&gt;-42.73074444444445,-5.052811111111111,0&lt;/coordinates&gt;
			&lt;/Point&gt;
		&lt;/Placemark&gt;
		&lt;Placemark&gt;
			&lt;name&gt;RUA APOLO XII&lt;/name&gt;
			&lt;styleUrl&gt;#m_ylw-pushpin&lt;/styleUrl&gt;
			&lt;LineString&gt;
				&lt;tessellate&gt;1&lt;/tessellate&gt;
				&lt;coordinates&gt;
					-42.73074984700181,-5.05279854055831,0 -42.73117301909237,-5.052769038239326,0 
				&lt;/coordinates&gt;
			&lt;/LineString&gt;
		&lt;/Placemark&gt;
		&lt;Placemark&gt;
			&lt;name&gt;RES. DOM AVELAR - INICIO&lt;/name&gt;
			&lt;LookAt&gt;
				&lt;longitude&gt;-42.7316924991625&lt;/longitude&gt;
				&lt;latitude&gt;-5.053016092785843&lt;/latitude&gt;
				&lt;altitude&gt;0&lt;/altitude&gt;
				&lt;heading&gt;-106.1979476065176&lt;/heading&gt;
				&lt;tilt&gt;30.00112474414314&lt;/tilt&gt;
				&lt;range&gt;250.244249296908&lt;/range&gt;
				&lt;gx:altitudeMode&gt;relativeToSeaFloor&lt;/gx:altitudeMode&gt;
			&lt;/LookAt&gt;
			&lt;styleUrl&gt;#m_ylw-pushpin0&lt;/styleUrl&gt;
			&lt;Point&gt;
				&lt;gx:drawOrder&gt;1&lt;/gx:drawOrder&gt;
				&lt;coordinates&gt;-42.73018055555556,-5.050847222222222,0&lt;/coordinates&gt;
			&lt;/Point&gt;
		&lt;/Placemark&gt;
		&lt;Placemark&gt;
			&lt;name&gt;RES. DOM AVELAR - FIM &lt;/name&gt;
			&lt;LookAt&gt;
				&lt;longitude&gt;-42.73168273695106&lt;/longitude&gt;
				&lt;latitude&gt;-5.05013783774912&lt;/latitude&gt;
				&lt;altitude&gt;0&lt;/altitude&gt;
				&lt;heading&gt;-106.1979485642639&lt;/heading&gt;
				&lt;tilt&gt;30.00336359451616&lt;/tilt&gt;
				&lt;range&gt;748.7101449503272&lt;/range&gt;
				&lt;gx:altitudeMode&gt;relativeToSeaFloor&lt;/gx:altitudeMode&gt;
			&lt;/LookAt&gt;
			&lt;styleUrl&gt;#m_ylw-pushpin0&lt;/styleUrl&gt;
			&lt;Point&gt;
				&lt;gx:drawOrder&gt;1&lt;/gx:drawOrder&gt;
				&lt;coordinates&gt;-42.73021666666667,-5.051883333333334,0&lt;/coordinates&gt;
			&lt;/Point&gt;
		&lt;/Placemark&gt;
		&lt;Placemark&gt;
			&lt;name&gt;RES. DOM AVELAR&lt;/name&gt;
			&lt;styleUrl&gt;#m_ylw-pushpin&lt;/styleUrl&gt;
			&lt;LineString&gt;
				&lt;tessellate&gt;1&lt;/tessellate&gt;
				&lt;coordinates&gt;
					-42.73022231487008,-5.051896047771224,0 -42.73019412001538,-5.051588305619124,0 -42.73018723209584,-5.051289792518611,0 -42.73016824311618,-5.051043304827281,0 -42.73015251855528,-5.050871576856331,0 
				&lt;/coordinates&gt;
			&lt;/LineString&gt;
		&lt;/Placemark&gt;
		&lt;Placemark&gt;
			&lt;name&gt;RUA SÃO JOÃO - INICIO&lt;/name&gt;
			&lt;LookAt&gt;
				&lt;longitude&gt;-42.72938747287985&lt;/longitude&gt;
				&lt;latitude&gt;-5.050248627989803&lt;/latitude&gt;
				&lt;altitude&gt;0&lt;/altitude&gt;
				&lt;heading&gt;-106.1636201959124&lt;/heading&gt;
				&lt;tilt&gt;24.13148712263272&lt;/tilt&gt;
				&lt;range&gt;762.0502707662581&lt;/range&gt;
				&lt;gx:altitudeMode&gt;relativeToSeaFloor&lt;/gx:altitudeMode&gt;
			&lt;/LookAt&gt;
			&lt;styleUrl&gt;#m_ylw-pushpin0&lt;/styleUrl&gt;
			&lt;Point&gt;
				&lt;gx:drawOrder&gt;1&lt;/gx:drawOrder&gt;
				&lt;coordinates&gt;-42.77905833333333,-5.0029,0&lt;/coordinates&gt;
			&lt;/Point&gt;
		&lt;/Placemark&gt;
		&lt;Placemark&gt;
			&lt;name&gt;RUA SÃO JOÃO - FIM&lt;/name&gt;
			&lt;LookAt&gt;
				&lt;longitude&gt;-42.77981465980235&lt;/longitude&gt;
				&lt;latitude&gt;-4.999033765782682&lt;/latitude&gt;
				&lt;altitude&gt;0&lt;/altitude&gt;
				&lt;heading&gt;-105.8882917770516&lt;/heading&gt;
				&lt;tilt&gt;9.337268580382416&lt;/tilt&gt;
				&lt;range&gt;1251.40983739675&lt;/range&gt;
				&lt;gx:altitudeMode&gt;relativeToSeaFloor&lt;/gx:altitudeMode&gt;
			&lt;/LookAt&gt;
			&lt;styleUrl&gt;#m_ylw-pushpin0&lt;/styleUrl&gt;
			&lt;Point&gt;
				&lt;gx:drawOrder&gt;1&lt;/gx:drawOrder&gt;
				&lt;coordinates&gt;-42.7782,-5.003027777777778,0&lt;/coordinates&gt;
			&lt;/Point&gt;
		&lt;/Placemark&gt;
		&lt;Placemark&gt;
			&lt;name&gt;RUA SÃO JOÃO&lt;/name&gt;
			&lt;styleUrl&gt;#m_ylw-pushpin&lt;/styleUrl&gt;
			&lt;LineString&gt;
				&lt;tessellate&gt;1&lt;/tessellate&gt;
				&lt;coordinates&gt;
					-42.77819999231077,-5.003035903758182,0 -42.77853714238567,-5.002985639141223,0 -42.77873316393992,-5.002976480117888,0 -42.77905663371214,-5.002901856254441,0 
				&lt;/coordinates&gt;
			&lt;/LineString&gt;
		&lt;/Placemark&gt;
		&lt;Placemark&gt;
			&lt;name&gt;AV. FRANCISCO SOARES CAMPELO - INICIO&lt;/name&gt;
			&lt;LookAt&gt;
				&lt;longitude&gt;-42.77912760638154&lt;/longitude&gt;
				&lt;latitude&gt;-5.002190506525174&lt;/latitude&gt;
				&lt;altitude&gt;0&lt;/altitude&gt;
				&lt;heading&gt;-106.0547855087389&lt;/heading&gt;
				&lt;tilt&gt;15.07543585964811&lt;/tilt&gt;
				&lt;range&gt;320.806872166531&lt;/range&gt;
				&lt;gx:altitudeMode&gt;relativeToSeaFloor&lt;/gx:altitudeMode&gt;
			&lt;/LookAt&gt;
			&lt;styleUrl&gt;#m_ylw-pushpin0&lt;/styleUrl&gt;
			&lt;Point&gt;
				&lt;gx:drawOrder&gt;1&lt;/gx:drawOrder&gt;
				&lt;coordinates&gt;-42.73743333333334,-5.034466666666667,0&lt;/coordinates&gt;
			&lt;/Point&gt;
		&lt;/Placemark&gt;
		&lt;Placemark&gt;
			&lt;name&gt;AV. FRANCISCO SOARES CAMPELO&lt;/name&gt;
			&lt;LookAt&gt;
				&lt;longitude&gt;-42.74053216310289&lt;/longitude&gt;
				&lt;latitude&gt;-5.033469652048969&lt;/latitude&gt;
				&lt;altitude&gt;0&lt;/altitude&gt;
				&lt;heading&gt;-106.0540554285238&lt;/heading&gt;
				&lt;tilt&gt;14.01218208270367&lt;/tilt&gt;
				&lt;range&gt;644.9973127510953&lt;/range&gt;
				&lt;gx:altitudeMode&gt;relativeToSeaFloor&lt;/gx:altitudeMode&gt;
			&lt;/LookAt&gt;
			&lt;styleUrl&gt;#m_ylw-pushpin0&lt;/styleUrl&gt;
			&lt;Point&gt;
				&lt;gx:drawOrder&gt;1&lt;/gx:drawOrder&gt;
				&lt;coordinates&gt;-42.73705277777778,-5.035997222222222,0&lt;/coordinates&gt;
			&lt;/Point&gt;
		&lt;/Placemark&gt;
		&lt;Placemark&gt;
			&lt;name&gt;AV. FRANCISCO SOARES CAMPELO&lt;/name&gt;
			&lt;styleUrl&gt;#m_ylw-pushpin&lt;/styleUrl&gt;
			&lt;LineString&gt;
				&lt;tessellate&gt;1&lt;/tessellate&gt;
				&lt;coordinates&gt;
					-42.73705352240831,-5.036004922456066,0 -42.73719966185168,-5.035350028838612,0 -42.73742975722598,-5.034472415249271,0 
				&lt;/coordinates&gt;
			&lt;/LineString&gt;
		&lt;/Placemark&gt;
		&lt;Placemark&gt;
			&lt;name&gt;PROJETADA 13 - INICIO&lt;/name&gt;
			&lt;LookAt&gt;
				&lt;longitude&gt;-42.73277348298038&lt;/longitude&gt;
				&lt;latitude&gt;-5.031909454049771&lt;/latitude&gt;
				&lt;altitude&gt;0&lt;/altitude&gt;
				&lt;heading&gt;-106.054158873405&lt;/heading&gt;
				&lt;tilt&gt;22.99915212974774&lt;/tilt&gt;
				&lt;range&gt;2644.475744078357&lt;/range&gt;
				&lt;gx:altitudeMode&gt;relativeToSeaFloor&lt;/gx:altitudeMode&gt;
			&lt;/LookAt&gt;
			&lt;styleUrl&gt;#m_ylw-pushpin0&lt;/styleUrl&gt;
			&lt;Point&gt;
				&lt;gx:drawOrder&gt;1&lt;/gx:drawOrder&gt;
				&lt;coordinates&gt;-42.74916666666667,-5.03585,0&lt;/coordinates&gt;
			&lt;/Point&gt;
		&lt;/Placemark&gt;
		&lt;Placemark&gt;
			&lt;name&gt;PROJETADA 13 - FIM&lt;/name&gt;
			&lt;LookAt&gt;
				&lt;longitude&gt;-42.74714210974475&lt;/longitude&gt;
				&lt;latitude&gt;-5.035173944765215&lt;/latitude&gt;
				&lt;altitude&gt;0&lt;/altitude&gt;
				&lt;heading&gt;-106.0513591050247&lt;/heading&gt;
				&lt;tilt&gt;9.161155103350175&lt;/tilt&gt;
				&lt;range&gt;439.993646591129&lt;/range&gt;
				&lt;gx:altitudeMode&gt;relativeToSeaFloor&lt;/gx:altitudeMode&gt;
			&lt;/LookAt&gt;
			&lt;styleUrl&gt;#m_ylw-pushpin0&lt;/styleUrl&gt;
			&lt;Point&gt;
				&lt;gx:drawOrder&gt;1&lt;/gx:drawOrder&gt;
				&lt;coordinates&gt;-42.74916666666667,-5.037197222222222,0&lt;/coordinates&gt;
			&lt;/Point&gt;
		&lt;/Placemark&gt;
		&lt;Placemark&gt;
			&lt;name&gt;PROJETADA 13&lt;/name&gt;
			&lt;styleUrl&gt;#m_ylw-pushpin&lt;/styleUrl&gt;
			&lt;LineString&gt;
				&lt;tessellate&gt;1&lt;/tessellate&gt;
				&lt;coordinates&gt;
					-42.74918543246343,-5.037208404703165,0 -42.74918355121542,-5.036871894417819,0 -42.74917937368519,-5.036607953707977,0 -42.74917207831668,-5.036320283969966,0 -42.74918868348456,-5.036026674353669,0 -42.74917215277313,-5.035840384296502,0 
				&lt;/coordinates&gt;
			&lt;/LineString&gt;
		&lt;/Placemark&gt;
		&lt;Placemark&gt;
			&lt;name&gt;PROJETADA 11&lt;/name&gt;
			&lt;LookAt&gt;
				&lt;longitude&gt;-42.74868849862763&lt;/longitude&gt;
				&lt;latitude&gt;-5.03641336608455&lt;/latitude&gt;
				&lt;altitude&gt;0&lt;/altitude&gt;
				&lt;heading&gt;-106.0412571801428&lt;/heading&gt;
				&lt;tilt&gt;1.849405896418413&lt;/tilt&gt;
				&lt;range&gt;168.8240854063801&lt;/range&gt;
				&lt;gx:altitudeMode&gt;relativeToSeaFloor&lt;/gx:altitudeMode&gt;
			&lt;/LookAt&gt;
			&lt;styleUrl&gt;#m_ylw-pushpin0&lt;/styleUrl&gt;
			&lt;Point&gt;
				&lt;gx:drawOrder&gt;1&lt;/gx:drawOrder&gt;
				&lt;coordinates&gt;-42.74917777777778,-5.03635,0&lt;/coordinates&gt;
			&lt;/Point&gt;
		&lt;/Placemark&gt;
		&lt;Placemark&gt;
			&lt;name&gt;PROJETADA 11 - FIM&lt;/name&gt;
			&lt;LookAt&gt;
				&lt;longitude&gt;-42.74868849862763&lt;/longitude&gt;
				&lt;latitude&gt;-5.03641336608455&lt;/latitude&gt;
				&lt;altitude&gt;0&lt;/altitude&gt;
				&lt;heading&gt;-106.0412571801428&lt;/heading&gt;
				&lt;tilt&gt;1.849405896418413&lt;/tilt&gt;
				&lt;range&gt;168.8240854063801&lt;/range&gt;
				&lt;gx:altitudeMode&gt;relativeToSeaFloor&lt;/gx:altitudeMode&gt;
			&lt;/LookAt&gt;
			&lt;styleUrl&gt;#m_ylw-pushpin0&lt;/styleUrl&gt;
			&lt;Point&gt;
				&lt;gx:drawOrder&gt;1&lt;/gx:drawOrder&gt;
				&lt;coordinates&gt;-42.74755555555556,-5.036241666666666,0&lt;/coordinates&gt;
			&lt;/Point&gt;
		&lt;/Placemark&gt;
		&lt;Placemark&gt;
			&lt;name&gt;PROJETADA 11&lt;/name&gt;
			&lt;styleUrl&gt;#m_ylw-pushpin&lt;/styleUrl&gt;
			&lt;LineString&gt;
				&lt;tessellate&gt;1&lt;/tessellate&gt;
				&lt;coordinates&gt;
					-42.74755310469251,-5.03624530559919,0 -42.74772952577977,-5.036205928231953,0 -42.74814643684757,-5.036245092211725,0 -42.74856237883048,-5.036298445472274,0 -42.74888505138031,-5.036317037408489,0 -42.7491807460172,-5.036346593287811,0 
				&lt;/coordinates&gt;
			&lt;/LineString&gt;
		&lt;/Placemark&gt;
		&lt;Placemark&gt;
			&lt;name&gt;PROJETADA 14 - INICIO &lt;/name&gt;
			&lt;LookAt&gt;
				&lt;longitude&gt;-42.74843241697937&lt;/longitude&gt;
				&lt;latitude&gt;-5.036343276513758&lt;/latitude&gt;
				&lt;altitude&gt;0&lt;/altitude&gt;
				&lt;heading&gt;-106.0355007969114&lt;/heading&gt;
				&lt;tilt&gt;1.253059955521252&lt;/tilt&gt;
				&lt;range&gt;157.4381885276486&lt;/range&gt;
				&lt;gx:altitudeMode&gt;relativeToSeaFloor&lt;/gx:altitudeMode&gt;
			&lt;/LookAt&gt;
			&lt;styleUrl&gt;#m_ylw-pushpin0&lt;/styleUrl&gt;
			&lt;Point&gt;
				&lt;gx:drawOrder&gt;1&lt;/gx:drawOrder&gt;
				&lt;coordinates&gt;-42.74916666666667,-5.03585,0&lt;/coordinates&gt;
			&lt;/Point&gt;
		&lt;/Placemark&gt;
		&lt;Placemark&gt;
			&lt;name&gt;PROJETADA 14 - FIM&lt;/name&gt;
			&lt;LookAt&gt;
				&lt;longitude&gt;-42.74839731100833&lt;/longitude&gt;
				&lt;latitude&gt;-5.035603175066851&lt;/latitude&gt;
				&lt;altitude&gt;0&lt;/altitude&gt;
				&lt;heading&gt;-106.0354943045636&lt;/heading&gt;
				&lt;tilt&gt;1.253151658268044&lt;/tilt&gt;
				&lt;range&gt;624.3165340269391&lt;/range&gt;
				&lt;gx:altitudeMode&gt;relativeToSeaFloor&lt;/gx:altitudeMode&gt;
			&lt;/LookAt&gt;
			&lt;styleUrl&gt;#m_ylw-pushpin0&lt;/styleUrl&gt;
			&lt;Point&gt;
				&lt;gx:drawOrder&gt;1&lt;/gx:drawOrder&gt;
				&lt;coordinates&gt;-42.74833888888889,-5.035869444444445,0&lt;/coordinates&gt;
			&lt;/Point&gt;
		&lt;/Placemark&gt;
		&lt;Placemark&gt;
			&lt;name&gt;PROJETADA 14&lt;/name&gt;
			&lt;styleUrl&gt;#m_ylw-pushpin&lt;/styleUrl&gt;
			&lt;LineString&gt;
				&lt;tessellate&gt;1&lt;/tessellate&gt;
				&lt;coordinates&gt;
					-42.74835318127675,-5.035878746336984,0 -42.74873062779844,-5.035880133446857,0 -42.74917653673401,-5.03585006677493,0 
				&lt;/coordinates&gt;
			&lt;/LineString&gt;
		&lt;/Placemark&gt;
		&lt;Placemark&gt;
			&lt;name&gt;PROJETADA 12 - INICIO&lt;/name&gt;
			&lt;LookAt&gt;
				&lt;longitude&gt;-42.74869483344291&lt;/longitude&gt;
				&lt;latitude&gt;-5.035721455369325&lt;/latitude&gt;
				&lt;altitude&gt;0&lt;/altitude&gt;
				&lt;heading&gt;-106.0525297595866&lt;/heading&gt;
				&lt;tilt&gt;20.2178880970065&lt;/tilt&gt;
				&lt;range&gt;203.9759599131894&lt;/range&gt;
				&lt;gx:altitudeMode&gt;relativeToSeaFloor&lt;/gx:altitudeMode&gt;
			&lt;/LookAt&gt;
			&lt;styleUrl&gt;#m_ylw-pushpin0&lt;/styleUrl&gt;
			&lt;Point&gt;
				&lt;gx:drawOrder&gt;1&lt;/gx:drawOrder&gt;
				&lt;coordinates&gt;-42.74703333333333,-5.036105555555555,0&lt;/coordinates&gt;
			&lt;/Point&gt;
		&lt;/Placemark&gt;
		&lt;Placemark&gt;
			&lt;name&gt;PROJETADA 12 - FIM&lt;/name&gt;
			&lt;LookAt&gt;
				&lt;longitude&gt;-42.74828778627069&lt;/longitude&gt;
				&lt;latitude&gt;-5.036105988846138&lt;/latitude&gt;
				&lt;altitude&gt;0&lt;/altitude&gt;
				&lt;heading&gt;-106.0528861439198&lt;/heading&gt;
				&lt;tilt&gt;30.00156043933898&lt;/tilt&gt;
				&lt;range&gt;347.3896883077037&lt;/range&gt;
				&lt;gx:altitudeMode&gt;relativeToSeaFloor&lt;/gx:altitudeMode&gt;
			&lt;/LookAt&gt;
			&lt;styleUrl&gt;#m_ylw-pushpin0&lt;/styleUrl&gt;
			&lt;Point&gt;
				&lt;gx:drawOrder&gt;1&lt;/gx:drawOrder&gt;
				&lt;coordinates&gt;-42.74675555555556,-5.037097222222222,0&lt;/coordinates&gt;
			&lt;/Point&gt;
		&lt;/Placemark&gt;
		&lt;Placemark&gt;
			&lt;name&gt;PROJETADA 12&lt;/name&gt;
			&lt;styleUrl&gt;#m_ylw-pushpin&lt;/styleUrl&gt;
			&lt;LineString&gt;
				&lt;tessellate&gt;1&lt;/tessellate&gt;
				&lt;coordinates&gt;
					-42.74675315360898,-5.037110578385487,0 -42.74682263896643,-5.036830863898373,0 -42.74693787140001,-5.036404850102778,0 -42.74702619381738,-5.03612043584975,0 
				&lt;/coordinates&gt;
			&lt;/LineString&gt;
		&lt;/Placemark&gt;
		&lt;Placemark&gt;
			&lt;name&gt;PROJETADA 6 - INICIO&lt;/name&gt;
			&lt;LookAt&gt;
				&lt;longitude&gt;-42.74756139167059&lt;/longitude&gt;
				&lt;latitude&gt;-5.036865596865414&lt;/latitude&gt;
				&lt;altitude&gt;0&lt;/altitude&gt;
				&lt;heading&gt;-106.0529503548882&lt;/heading&gt;
				&lt;tilt&gt;30.00109064871132&lt;/tilt&gt;
				&lt;range&gt;242.7666452488818&lt;/range&gt;
				&lt;gx:altitudeMode&gt;relativeToSeaFloor&lt;/gx:altitudeMode&gt;
			&lt;/LookAt&gt;
			&lt;styleUrl&gt;#m_ylw-pushpin0&lt;/styleUrl&gt;
			&lt;Point&gt;
				&lt;gx:drawOrder&gt;1&lt;/gx:drawOrder&gt;
				&lt;coordinates&gt;-42.72799722222222,-5.041983333333333,0&lt;/coordinates&gt;
			&lt;/Point&gt;
		&lt;/Placemark&gt;
		&lt;Placemark&gt;
			&lt;name&gt;PROJETADA 6 - FIM&lt;/name&gt;
			&lt;LookAt&gt;
				&lt;longitude&gt;-42.72974267450122&lt;/longitude&gt;
				&lt;latitude&gt;-5.041758272598468&lt;/latitude&gt;
				&lt;altitude&gt;0&lt;/altitude&gt;
				&lt;heading&gt;-106.0518515818368&lt;/heading&gt;
				&lt;tilt&gt;10.60556373537583&lt;/tilt&gt;
				&lt;range&gt;615.4568454797271&lt;/range&gt;
				&lt;gx:altitudeMode&gt;relativeToSeaFloor&lt;/gx:altitudeMode&gt;
			&lt;/LookAt&gt;
			&lt;styleUrl&gt;#m_ylw-pushpin0&lt;/styleUrl&gt;
			&lt;Point&gt;
				&lt;gx:drawOrder&gt;1&lt;/gx:drawOrder&gt;
				&lt;coordinates&gt;-42.72788333333334,-5.04255,0&lt;/coordinates&gt;
			&lt;/Point&gt;
		&lt;/Placemark&gt;
		&lt;Placemark&gt;
			&lt;name&gt;PROJETADA 6&lt;/name&gt;
			&lt;styleUrl&gt;#m_ylw-pushpin&lt;/styleUrl&gt;
			&lt;LineString&gt;
				&lt;tessellate&gt;1&lt;/tessellate&gt;
				&lt;coordinates&gt;
					-42.7278774144011,-5.04255207169416,0 -42.72799820198279,-5.041979704757856,0 
				&lt;/coordinates&gt;
			&lt;/LineString&gt;
		&lt;/Placemark&gt;
		&lt;Placemark&gt;
			&lt;name&gt;PROJETADADA 07 - INICIO&lt;/name&gt;
			&lt;LookAt&gt;
				&lt;longitude&gt;-42.72845492884831&lt;/longitude&gt;
				&lt;latitude&gt;-5.04218649131264&lt;/latitude&gt;
				&lt;altitude&gt;0&lt;/altitude&gt;
				&lt;heading&gt;-106.0517342705937&lt;/heading&gt;
				&lt;tilt&gt;30.00082793387678&lt;/tilt&gt;
				&lt;range&gt;184.3573433492153&lt;/range&gt;
				&lt;gx:altitudeMode&gt;relativeToSeaFloor&lt;/gx:altitudeMode&gt;
			&lt;/LookAt&gt;
			&lt;styleUrl&gt;#m_ylw-pushpin0&lt;/styleUrl&gt;
			&lt;Point&gt;
				&lt;gx:drawOrder&gt;1&lt;/gx:drawOrder&gt;
				&lt;coordinates&gt;-42.74584166666667,-5.026838888888888,0&lt;/coordinates&gt;
			&lt;/Point&gt;
		&lt;/Placemark&gt;
		&lt;Placemark&gt;
			&lt;name&gt;PROJETADADA 07 - FIM &lt;/name&gt;
			&lt;LookAt&gt;
				&lt;longitude&gt;-42.72845492884831&lt;/longitude&gt;
				&lt;latitude&gt;-5.04218649131264&lt;/latitude&gt;
				&lt;altitude&gt;0&lt;/altitude&gt;
				&lt;heading&gt;-106.0517342705937&lt;/heading&gt;
				&lt;tilt&gt;30.00082793387678&lt;/tilt&gt;
				&lt;range&gt;184.3573433492153&lt;/range&gt;
				&lt;gx:altitudeMode&gt;relativeToSeaFloor&lt;/gx:altitudeMode&gt;
			&lt;/LookAt&gt;
			&lt;styleUrl&gt;#m_ylw-pushpin0&lt;/styleUrl&gt;
			&lt;Point&gt;
				&lt;gx:drawOrder&gt;1&lt;/gx:drawOrder&gt;
				&lt;coordinates&gt;-42.74509166666667,-5.026630555555555,0&lt;/coordinates&gt;
			&lt;/Point&gt;
		&lt;/Placemark&gt;
		&lt;Placemark&gt;
			&lt;name&gt;PROJETADADA 07&lt;/name&gt;
			&lt;styleUrl&gt;#m_ylw-pushpin&lt;/styleUrl&gt;
			&lt;LineString&gt;
				&lt;tessellate&gt;1&lt;/tessellate&gt;
				&lt;coordinates&gt;
					-42.74511167563613,-5.026634905852012,0 -42.74583010528091,-5.026835642098717,0 
				&lt;/coordinates&gt;
			&lt;/LineString&gt;
		&lt;/Placemark&gt;
		&lt;Placemark&gt;
			&lt;name&gt;PROJETADA 10 - INICIO&lt;/name&gt;
			&lt;LookAt&gt;
				&lt;longitude&gt;-42.74465475040384&lt;/longitude&gt;
				&lt;latitude&gt;-5.027273414004801&lt;/latitude&gt;
				&lt;altitude&gt;0&lt;/altitude&gt;
				&lt;heading&gt;-106.0391187418697&lt;/heading&gt;
				&lt;tilt&gt;5.097051353733875&lt;/tilt&gt;
				&lt;range&gt;369.4029906581003&lt;/range&gt;
				&lt;gx:altitudeMode&gt;relativeToSeaFloor&lt;/gx:altitudeMode&gt;
			&lt;/LookAt&gt;
			&lt;styleUrl&gt;#m_ylw-pushpin0&lt;/styleUrl&gt;
			&lt;Point&gt;
				&lt;gx:drawOrder&gt;1&lt;/gx:drawOrder&gt;
				&lt;coordinates&gt;-42.75325833333333,-5.030247222222222,0&lt;/coordinates&gt;
			&lt;/Point&gt;
		&lt;/Placemark&gt;
		&lt;Placemark&gt;
			&lt;name&gt;PROJETADA 10 - FIM&lt;/name&gt;
			&lt;LookAt&gt;
				&lt;longitude&gt;-42.74465475040384&lt;/longitude&gt;
				&lt;latitude&gt;-5.027273414004801&lt;/latitude&gt;
				&lt;altitude&gt;0&lt;/altitude&gt;
				&lt;heading&gt;-106.0391187418697&lt;/heading&gt;
				&lt;tilt&gt;5.097051353733875&lt;/tilt&gt;
				&lt;range&gt;369.4029906581003&lt;/range&gt;
				&lt;gx:altitudeMode&gt;relativeToSeaFloor&lt;/gx:altitudeMode&gt;
			&lt;/LookAt&gt;
			&lt;styleUrl&gt;#m_ylw-pushpin0&lt;/styleUrl&gt;
			&lt;Point&gt;
				&lt;gx:drawOrder&gt;1&lt;/gx:drawOrder&gt;
				&lt;coordinates&gt;-42.75312222222222,-5.031322222222222,0&lt;/coordinates&gt;
			&lt;/Point&gt;
		&lt;/Placemark&gt;
		&lt;Placemark&gt;
			&lt;name&gt;PROJETADA 10&lt;/name&gt;
			&lt;styleUrl&gt;#m_ylw-pushpin&lt;/styleUrl&gt;
			&lt;LineString&gt;
				&lt;tessellate&gt;1&lt;/tessellate&gt;
				&lt;coordinates&gt;
					-42.75326839365258,-5.030233498663292,0 -42.75312134501026,-5.031314041087562,0 
				&lt;/coordinates&gt;
			&lt;/LineString&gt;
		&lt;/Placemark&gt;
		&lt;Placemark&gt;
			&lt;name&gt;PROJETADA 08 - INICIO&lt;/name&gt;
			&lt;LookAt&gt;
				&lt;longitude&gt;-42.752071687051&lt;/longitude&gt;
				&lt;latitude&gt;-5.029590035483122&lt;/latitude&gt;
				&lt;altitude&gt;0&lt;/altitude&gt;
				&lt;heading&gt;-106.0442984071906&lt;/heading&gt;
				&lt;tilt&gt;8.145273390433317&lt;/tilt&gt;
				&lt;range&gt;1629.450332262715&lt;/range&gt;
				&lt;gx:altitudeMode&gt;relativeToSeaFloor&lt;/gx:altitudeMode&gt;
			&lt;/LookAt&gt;
			&lt;styleUrl&gt;#m_ylw-pushpin0&lt;/styleUrl&gt;
			&lt;Point&gt;
				&lt;gx:drawOrder&gt;1&lt;/gx:drawOrder&gt;
				&lt;coordinates&gt;-42.75329722222222,-5.031613888888889,0&lt;/coordinates&gt;
			&lt;/Point&gt;
		&lt;/Placemark&gt;
		&lt;Placemark&gt;
			&lt;name&gt;PROJETADA 08 - FIM &lt;/name&gt;
			&lt;LookAt&gt;
				&lt;longitude&gt;-42.752071687051&lt;/longitude&gt;
				&lt;latitude&gt;-5.029590035483122&lt;/latitude&gt;
				&lt;altitude&gt;0&lt;/altitude&gt;
				&lt;heading&gt;-106.0442984071906&lt;/heading&gt;
				&lt;tilt&gt;8.145273390433317&lt;/tilt&gt;
				&lt;range&gt;1629.450332262715&lt;/range&gt;
				&lt;gx:altitudeMode&gt;relativeToSeaFloor&lt;/gx:altitudeMode&gt;
			&lt;/LookAt&gt;
			&lt;styleUrl&gt;#m_ylw-pushpin0&lt;/styleUrl&gt;
			&lt;Point&gt;
				&lt;gx:drawOrder&gt;1&lt;/gx:drawOrder&gt;
				&lt;coordinates&gt;-42.75236388888889,-5.032947222222222,0&lt;/coordinates&gt;
			&lt;/Point&gt;
		&lt;/Placemark&gt;
		&lt;Placemark&gt;
			&lt;name&gt;Caminho sem título&lt;/name&gt;
			&lt;styleUrl&gt;#m_ylw-pushpin&lt;/styleUrl&gt;
			&lt;LineString&gt;
				&lt;tessellate&gt;1&lt;/tessellate&gt;
				&lt;coordinates&gt;
					-42.75236143594113,-5.032943831985947,0 -42.75329515588141,-5.031612971145735,0 
				&lt;/coordinates&gt;
			&lt;/LineString&gt;
		&lt;/Placemark&gt;
		&lt;Placemark&gt;
			&lt;name&gt;PROJETADA 09 - INICIO&lt;/name&gt;
			&lt;LookAt&gt;
				&lt;longitude&gt;-42.75293148236766&lt;/longitude&gt;
				&lt;latitude&gt;-5.031998688523701&lt;/latitude&gt;
				&lt;altitude&gt;0&lt;/altitude&gt;
				&lt;heading&gt;-106.0490609242266&lt;/heading&gt;
				&lt;tilt&gt;17.36488028211906&lt;/tilt&gt;
				&lt;range&gt;187.1104512047003&lt;/range&gt;
				&lt;gx:altitudeMode&gt;relativeToSeaFloor&lt;/gx:altitudeMode&gt;
			&lt;/LookAt&gt;
			&lt;styleUrl&gt;#m_ylw-pushpin0&lt;/styleUrl&gt;
			&lt;Point&gt;
				&lt;gx:drawOrder&gt;1&lt;/gx:drawOrder&gt;
				&lt;coordinates&gt;-42.75531111111111,-5.033102777777778,0&lt;/coordinates&gt;
			&lt;/Point&gt;
		&lt;/Placemark&gt;
		&lt;Placemark&gt;
			&lt;name&gt;PROJETADA 09 - FIM&lt;/name&gt;
			&lt;LookAt&gt;
				&lt;longitude&gt;-42.75293148236766&lt;/longitude&gt;
				&lt;latitude&gt;-5.031998688523701&lt;/latitude&gt;
				&lt;altitude&gt;0&lt;/altitude&gt;
				&lt;heading&gt;-106.0490609242266&lt;/heading&gt;
				&lt;tilt&gt;17.36488028211906&lt;/tilt&gt;
				&lt;range&gt;187.1104512047003&lt;/range&gt;
				&lt;gx:altitudeMode&gt;relativeToSeaFloor&lt;/gx:altitudeMode&gt;
			&lt;/LookAt&gt;
			&lt;styleUrl&gt;#m_ylw-pushpin0&lt;/styleUrl&gt;
			&lt;Point&gt;
				&lt;gx:drawOrder&gt;1&lt;/gx:drawOrder&gt;
				&lt;coordinates&gt;-42.75430277777778,-5.034430555555556,0&lt;/coordinates&gt;
			&lt;/Point&gt;
		&lt;/Placemark&gt;
		&lt;Placemark&gt;
			&lt;name&gt;PROJETADA 09&lt;/name&gt;
			&lt;styleUrl&gt;#m_ylw-pushpin&lt;/styleUrl&gt;
			&lt;LineString&gt;
				&lt;tessellate&gt;1&lt;/tessellate&gt;
				&lt;coordinates&gt;
					-42.75429280272543,-5.034424796500941,0 -42.75487514613003,-5.033656406641692,0 -42.75505858164334,-5.033408553680878,0 -42.75519042008563,-5.03320072501116,0 -42.75531871917536,-5.033105440639837,0 
				&lt;/coordinates&gt;
			&lt;/LineString&gt;
		&lt;/Placemark&gt;
		&lt;Placemark&gt;
			&lt;name&gt;PROJETADA 15 - INICIO&lt;/name&gt;
			&lt;LookAt&gt;
				&lt;longitude&gt;-42.75432830982689&lt;/longitude&gt;
				&lt;latitude&gt;-5.033064643590951&lt;/latitude&gt;
				&lt;altitude&gt;0&lt;/altitude&gt;
				&lt;heading&gt;-106.0472977221085&lt;/heading&gt;
				&lt;tilt&gt;12.56643705581621&lt;/tilt&gt;
				&lt;range&gt;270.4110563283921&lt;/range&gt;
				&lt;gx:altitudeMode&gt;relativeToSeaFloor&lt;/gx:altitudeMode&gt;
			&lt;/LookAt&gt;
			&lt;styleUrl&gt;#m_ylw-pushpin0&lt;/styleUrl&gt;
			&lt;Point&gt;
				&lt;gx:drawOrder&gt;1&lt;/gx:drawOrder&gt;
				&lt;coordinates&gt;-42.75531111111111,-5.033102777777778,0&lt;/coordinates&gt;
			&lt;/Point&gt;
		&lt;/Placemark&gt;
		&lt;Placemark&gt;
			&lt;name&gt;PROJETADA 15 - FIM&lt;/nam</t>
  </si>
  <si>
    <t>EXECUÇÃO DE 4.776M² PAVIMENTAÇÃO DE VIAS EM PARALELEPÍPEDO NO MUNICÍPIO DE TERESINA -PI</t>
  </si>
  <si>
    <t>MORROS,SOCOPO</t>
  </si>
  <si>
    <t>&lt;?xml version="1.0" encoding="UTF-8"?&gt;
&lt;kml xmlns="http://www.opengis.net/kml/2.2" xmlns:gx="http://www.google.com/kml/ext/2.2" xmlns:kml="http://www.opengis.net/kml/2.2" xmlns:atom="http://www.w3.org/2005/Atom"&gt;
&lt;Document&gt;
	&lt;name&gt;12088 TERESINA - PI.kmz&lt;/name&gt;
	&lt;StyleMap id="m_ylw-pushpin"&gt;
		&lt;Pair&gt;
			&lt;key&gt;normal&lt;/key&gt;
			&lt;styleUrl&gt;#s_ylw-pushpin&lt;/styleUrl&gt;
		&lt;/Pair&gt;
		&lt;Pair&gt;
			&lt;key&gt;highlight&lt;/key&gt;
			&lt;styleUrl&gt;#s_ylw-pushpin_hl0&lt;/styleUrl&gt;
		&lt;/Pair&gt;
	&lt;/StyleMap&gt;
	&lt;StyleMap id="m_ylw-pushpin0"&gt;
		&lt;Pair&gt;
			&lt;key&gt;normal&lt;/key&gt;
			&lt;styleUrl&gt;#s_ylw-pushpin0&lt;/styleUrl&gt;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&lt;LineStyle&gt;
			&lt;color&gt;ff0000ff&lt;/color&gt;
			&lt;width&gt;10&lt;/width&gt;
		&lt;/LineStyle&gt;
	&lt;/Style&gt;
	&lt;Style id="s_ylw-pushpin0"&gt;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&lt;Style id="s_ylw-pushpin_hl0"&gt;
		&lt;IconStyle&gt;
			&lt;scale&gt;1.3&lt;/scale&gt;
			&lt;Icon&gt;
				&lt;href&gt;http://maps.google.com/mapfiles/kml/pushpin/ylw-pushpin.png&lt;/href&gt;
			&lt;/Icon&gt;
			&lt;hotSpot x="20" y="2" xunits="pixels" yunits="pixels"/&gt;
		&lt;/IconStyle&gt;
		&lt;LineStyle&gt;
			&lt;color&gt;ff0000ff&lt;/color&gt;
			&lt;width&gt;10&lt;/width&gt;
		&lt;/LineStyle&gt;
	&lt;/Style&gt;
	&lt;Folder&gt;
		&lt;name&gt;TERESINA - PI&lt;/name&gt;
		&lt;open&gt;1&lt;/open&gt;
		&lt;Placemark&gt;
			&lt;name&gt;INÍCIO RUA FELISMINO WESLEN&lt;/name&gt;
			&lt;LookAt&gt;
				&lt;longitude&gt;-42.80563029737146&lt;/longitude&gt;
				&lt;latitude&gt;-5.100209690925711&lt;/latitude&gt;
				&lt;altitude&gt;0&lt;/altitude&gt;
				&lt;heading&gt;0.0002213539108610878&lt;/heading&gt;
				&lt;tilt&gt;0.04985534362055862&lt;/tilt&gt;
				&lt;range&gt;19818.14566907123&lt;/range&gt;
				&lt;gx:altitudeMode&gt;relativeToSeaFloor&lt;/gx:altitudeMode&gt;
			&lt;/LookAt&gt;
			&lt;styleUrl&gt;#m_ylw-pushpin0&lt;/styleUrl&gt;
			&lt;Point&gt;
				&lt;gx:drawOrder&gt;1&lt;/gx:drawOrder&gt;
				&lt;coordinates&gt;-42.76389444444445,-5.031533333333333,0&lt;/coordinates&gt;
			&lt;/Point&gt;
		&lt;/Placemark&gt;
		&lt;Placemark&gt;
			&lt;name&gt;FINAL RUA FELISMINO WESLEN&lt;/name&gt;
			&lt;LookAt&gt;
				&lt;longitude&gt;-42.76387401351614&lt;/longitude&gt;
				&lt;latitude&gt;-5.031690896752382&lt;/latitude&gt;
				&lt;altitude&gt;0&lt;/altitude&gt;
				&lt;heading&gt;-0.003658447767897856&lt;/heading&gt;
				&lt;tilt&gt;14.24515306118865&lt;/tilt&gt;
				&lt;range&gt;93.29525296979932&lt;/range&gt;
				&lt;gx:altitudeMode&gt;relativeToSeaFloor&lt;/gx:altitudeMode&gt;
			&lt;/LookAt&gt;
			&lt;styleUrl&gt;#m_ylw-pushpin0&lt;/styleUrl&gt;
			&lt;Point&gt;
				&lt;gx:drawOrder&gt;1&lt;/gx:drawOrder&gt;
				&lt;coordinates&gt;-42.76473888888889,-5.026325,0&lt;/coordinates&gt;
			&lt;/Point&gt;
		&lt;/Placemark&gt;
		&lt;Placemark&gt;
			&lt;name&gt;CAMINHO RUA FELISMINO WESLEN&lt;/name&gt;
			&lt;styleUrl&gt;#m_ylw-pushpin&lt;/styleUrl&gt;
			&lt;LineString&gt;
				&lt;tessellate&gt;1&lt;/tessellate&gt;
				&lt;coordinates&gt;
					-42.76462886711423,-5.026426341260733,0 -42.76395463664836,-5.0315192770144,0 
				&lt;/coordinates&gt;
			&lt;/LineString&gt;
		&lt;/Placemark&gt;
		&lt;Placemark&gt;
			&lt;name&gt;INÍCIO RUA PROFESSOR MIGUEL BORGES&lt;/name&gt;
			&lt;LookAt&gt;
				&lt;longitude&gt;-42.76336199681659&lt;/longitude&gt;
				&lt;latitude&gt;-5.0285659318713&lt;/latitude&gt;
				&lt;altitude&gt;0&lt;/altitude&gt;
				&lt;heading&gt;26.8053091667998&lt;/heading&gt;
				&lt;tilt&gt;20.6977199615188&lt;/tilt&gt;
				&lt;range&gt;694.2153273281285&lt;/range&gt;
				&lt;gx:altitudeMode&gt;relativeToSeaFloor&lt;/gx:altitudeMode&gt;
			&lt;/LookAt&gt;
			&lt;styleUrl&gt;#m_ylw-pushpin0&lt;/styleUrl&gt;
			&lt;Point&gt;
				&lt;gx:drawOrder&gt;1&lt;/gx:drawOrder&gt;
				&lt;coordinates&gt;-42.76604444444445,-5.0318,0&lt;/coordinates&gt;
			&lt;/Point&gt;
		&lt;/Placemark&gt;
		&lt;Placemark&gt;
			&lt;name&gt;FINAL RUA PROFESSOR MIGUEL BORGES&lt;/name&gt;
			&lt;LookAt&gt;
				&lt;longitude&gt;-42.76336199681659&lt;/longitude&gt;
				&lt;latitude&gt;-5.0285659318713&lt;/latitude&gt;
				&lt;altitude&gt;0&lt;/altitude&gt;
				&lt;heading&gt;26.8053091667998&lt;/heading&gt;
				&lt;tilt&gt;20.6977199615188&lt;/tilt&gt;
				&lt;range&gt;694.2153273281285&lt;/range&gt;
				&lt;gx:altitudeMode&gt;relativeToSeaFloor&lt;/gx:altitudeMode&gt;
			&lt;/LookAt&gt;
			&lt;styleUrl&gt;#m_ylw-pushpin0&lt;/styleUrl&gt;
			&lt;Point&gt;
				&lt;gx:drawOrder&gt;1&lt;/gx:drawOrder&gt;
				&lt;coordinates&gt;-42.76631666666667,-5.029852777777777,0&lt;/coordinates&gt;
			&lt;/Point&gt;
		&lt;/Placemark&gt;
		&lt;Placemark&gt;
			&lt;name&gt;CAMINHO RUA PROFESSOR MIGUEL BORGES&lt;/name&gt;
			&lt;styleUrl&gt;#m_ylw-pushpin&lt;/styleUrl&gt;
			&lt;LineString&gt;
				&lt;tessellate&gt;1&lt;/tessellate&gt;
				&lt;coordinates&gt;
					-42.76629854082221,-5.029868574176501,0 -42.7660372717023,-5.031805481143609,0 
				&lt;/coordinates&gt;
			&lt;/LineString&gt;
		&lt;/Placemark&gt;
		&lt;atom:link rel="app" href="https://www.google.com/earth/about/versions/#earth-pro" title="Google Earth Pro 7.3.6.10201"&gt;&lt;/atom:link&gt;
	&lt;/Folder&gt;
&lt;/Document&gt;
&lt;/kml&gt;</t>
  </si>
  <si>
    <t>PAVIMENTAÇÃO EM PARALELEPÍPEDO DE 8.087 M² DE RUAS NO MUNICÍPIO DE TERESINA- PI CONTRATO 112/2024</t>
  </si>
  <si>
    <t>&lt;?xml version="1.0" encoding="UTF-8"?&gt;
&lt;kml xmlns="http://www.opengis.net/kml/2.2" xmlns:gx="http://www.google.com/kml/ext/2.2" xmlns:kml="http://www.opengis.net/kml/2.2" xmlns:atom="http://www.w3.org/2005/Atom"&gt;
&lt;Document&gt;
	&lt;name&gt;12616.kmz&lt;/name&gt;
	&lt;StyleMap id="m_ylw-pushpin"&gt;
		&lt;Pair&gt;
			&lt;key&gt;normal&lt;/key&gt;
			&lt;styleUrl&gt;#s_ylw-pushpin&lt;/styleUrl&gt;
		&lt;/Pair&gt;
		&lt;Pair&gt;
			&lt;key&gt;highlight&lt;/key&gt;
			&lt;styleUrl&gt;#s_ylw-pushpin_hl0&lt;/styleUrl&gt;
		&lt;/Pair&gt;
	&lt;/StyleMap&gt;
	&lt;StyleMap id="m_ylw-pushpin0"&gt;
		&lt;Pair&gt;
			&lt;key&gt;normal&lt;/key&gt;
			&lt;styleUrl&gt;#s_ylw-pushpin0&lt;/styleUrl&gt;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id="s_ylw-pushpin0"&gt;
		&lt;IconStyle&gt;
			&lt;scale&gt;1.1&lt;/scale&gt;
			&lt;Icon&gt;
				&lt;href&gt;http://maps.google.com/mapfiles/kml/pushpin/ylw-pushpin.png&lt;/href&gt;
			&lt;/Icon&gt;
			&lt;hotSpot x="20" y="2" xunits="pixels" yunits="pixels"/&gt;
		&lt;/IconStyle&gt;
		&lt;LineStyle&gt;
			&lt;color&gt;ff0000ff&lt;/color&gt;
			&lt;width&gt;6&lt;/width&gt;
		&lt;/LineStyle&gt;
	&lt;/Style&gt;
	&lt;Style id="s_ylw-pushpin_hl"&gt;
		&lt;IconStyle&gt;
			&lt;scale&gt;1.3&lt;/scale&gt;
			&lt;Icon&gt;
				&lt;href&gt;http://maps.google.com/mapfiles/kml/pushpin/ylw-pushpin.png&lt;/href&gt;
			&lt;/Icon&gt;
			&lt;hotSpot x="20" y="2" xunits="pixels" yunits="pixels"/&gt;
		&lt;/IconStyle&gt;
		&lt;LineStyle&gt;
			&lt;color&gt;ff0000ff&lt;/color&gt;
			&lt;width&gt;6&lt;/width&gt;
		&lt;/LineStyle&gt;
	&lt;/Style&gt;
	&lt;Style id="s_ylw-pushpin_hl0"&gt;
		&lt;IconStyle&gt;
			&lt;scale&gt;1.3&lt;/scale&gt;
			&lt;Icon&gt;
				&lt;href&gt;http://maps.google.com/mapfiles/kml/pushpin/ylw-pushpin.png&lt;/href&gt;
			&lt;/Icon&gt;
			&lt;hotSpot x="20" y="2" xunits="pixels" yunits="pixels"/&gt;
		&lt;/IconStyle&gt;
	&lt;/Style&gt;
	&lt;Folder&gt;
		&lt;name&gt;12616&lt;/name&gt;
		&lt;open&gt;1&lt;/open&gt;
		&lt;Placemark&gt;
			&lt;name&gt;1&lt;/name&gt;
			&lt;LookAt&gt;
				&lt;longitude&gt;-42.80230648938434&lt;/longitude&gt;
				&lt;latitude&gt;-5.096124206076216&lt;/latitude&gt;
				&lt;altitude&gt;0&lt;/altitude&gt;
				&lt;heading&gt;-9.429625030042646e-10&lt;/heading&gt;
				&lt;tilt&gt;0&lt;/tilt&gt;
				&lt;range&gt;29555.3651886857&lt;/range&gt;
				&lt;gx:altitudeMode&gt;relativeToSeaFloor&lt;/gx:altitudeMode&gt;
			&lt;/LookAt&gt;
			&lt;styleUrl&gt;#m_ylw-pushpin&lt;/styleUrl&gt;
			&lt;Point&gt;
				&lt;gx:drawOrder&gt;1&lt;/gx:drawOrder&gt;
				&lt;coordinates&gt;-42.77903,-5.166889,0&lt;/coordinates&gt;
			&lt;/Point&gt;
		&lt;/Placemark&gt;
		&lt;Placemark&gt;
			&lt;name&gt;2&lt;/name&gt;
			&lt;LookAt&gt;
				&lt;longitude&gt;-42.80633411834413&lt;/longitude&gt;
				&lt;latitude&gt;-5.154383246657303&lt;/latitude&gt;
				&lt;altitude&gt;0&lt;/altitude&gt;
				&lt;heading&gt;0.000260164662689432&lt;/heading&gt;
				&lt;tilt&gt;0.8479891183479576&lt;/tilt&gt;
				&lt;range&gt;10987.21302113554&lt;/range&gt;
				&lt;gx:altitudeMode&gt;relativeToSeaFloor&lt;/gx:altitudeMode&gt;
			&lt;/LookAt&gt;
			&lt;styleUrl&gt;#m_ylw-pushpin&lt;/styleUrl&gt;
			&lt;Point&gt;
				&lt;gx:drawOrder&gt;1&lt;/gx:drawOrder&gt;
				&lt;coordinates&gt;-42.778589,-5.168554,0&lt;/coordinates&gt;
			&lt;/Point&gt;
		&lt;/Placemark&gt;
		&lt;Placemark&gt;
			&lt;name&gt;RUA PORJETADA 01&lt;/name&gt;
			&lt;styleUrl&gt;#m_ylw-pushpin0&lt;/styleUrl&gt;
			&lt;LineString&gt;
				&lt;tessellate&gt;1&lt;/tessellate&gt;
				&lt;coordinates&gt;
					-42.7790157459189,-5.166946142590134,0 -42.77885307391885,-5.167730404045027,0 -42.77860705048249,-5.168542091080385,0 
				&lt;/coordinates&gt;
			&lt;/LineString&gt;
		&lt;/Placemark&gt;
		&lt;Placemark&gt;
			&lt;name&gt;3&lt;/name&gt;
			&lt;LookAt&gt;
				&lt;longitude&gt;-42.77884891205832&lt;/longitude&gt;
				&lt;latitude&gt;-5.167741634415579&lt;/latitude&gt;
				&lt;altitude&gt;0&lt;/altitude&gt;
				&lt;heading&gt;-0.003169350045520326&lt;/heading&gt;
				&lt;tilt&gt;25.04413781830594&lt;/tilt&gt;
				&lt;range&gt;206.491706489445&lt;/range&gt;
				&lt;gx:altitudeMode&gt;relativeToSeaFloor&lt;/gx:altitudeMode&gt;
			&lt;/LookAt&gt;
			&lt;styleUrl&gt;#m_ylw-pushpin&lt;/styleUrl&gt;
			&lt;Point&gt;
				&lt;gx:drawOrder&gt;1&lt;/gx:drawOrder&gt;
				&lt;coordinates&gt;-42.797603,-5.174447,0&lt;/coordinates&gt;
			&lt;/Point&gt;
		&lt;/Placemark&gt;
		&lt;Placemark&gt;
			&lt;name&gt;4&lt;/name&gt;
			&lt;LookAt&gt;
				&lt;longitude&gt;-42.79696375064471&lt;/longitude&gt;
				&lt;latitude&gt;-5.174607761396196&lt;/latitude&gt;
				&lt;altitude&gt;0&lt;/altitude&gt;
				&lt;heading&gt;0.0001656822137111513&lt;/heading&gt;
				&lt;tilt&gt;14.38266579710059&lt;/tilt&gt;
				&lt;range&gt;290.4740752801407&lt;/range&gt;
				&lt;gx:altitudeMode&gt;relativeToSeaFloor&lt;/gx:altitudeMode&gt;
			&lt;/LookAt&gt;
			&lt;styleUrl&gt;#m_ylw-pushpin&lt;/styleUrl&gt;
			&lt;Point&gt;
				&lt;gx:drawOrder&gt;1&lt;/gx:drawOrder&gt;
				&lt;coordinates&gt;-42.797245,-5.174471,0&lt;/coordinates&gt;
			&lt;/Point&gt;
		&lt;/Placemark&gt;
		&lt;Placemark&gt;
			&lt;name&gt;Caminho sem título&lt;/name&gt;
			&lt;styleUrl&gt;#m_ylw-pushpin0&lt;/styleUrl&gt;
			&lt;LineString&gt;
				&lt;tessellate&gt;1&lt;/tessellate&gt;
				&lt;coordinates&gt;
					-42.79759202727001,-5.174421596698895,0 -42.79724293740535,-5.174462036920176,0 
				&lt;/coordinates&gt;
			&lt;/LineString&gt;
		&lt;/Placemark&gt;
		&lt;Placemark&gt;
			&lt;name&gt;5&lt;/name&gt;
			&lt;LookAt&gt;
				&lt;longitude&gt;-42.79696375064471&lt;/longitude&gt;
				&lt;latitude&gt;-5.174607761396196&lt;/latitude&gt;
				&lt;altitude&gt;0&lt;/altitude&gt;
				&lt;heading&gt;0.0001656822137111513&lt;/heading&gt;
				&lt;tilt&gt;14.38266579710059&lt;/tilt&gt;
				&lt;range&gt;290.4740752801407&lt;/range&gt;
				&lt;gx:altitudeMode&gt;relativeToSeaFloor&lt;/gx:altitudeMode&gt;
			&lt;/LookAt&gt;
			&lt;styleUrl&gt;#m_ylw-pushpin&lt;/styleUrl&gt;
			&lt;Point&gt;
				&lt;gx:drawOrder&gt;1&lt;/gx:drawOrder&gt;
				&lt;coordinates&gt;-42.711375,-5.300819,0&lt;/coordinates&gt;
			&lt;/Point&gt;
		&lt;/Placemark&gt;
		&lt;Placemark&gt;
			&lt;name&gt;6&lt;/name&gt;
			&lt;LookAt&gt;
				&lt;longitude&gt;-42.71112860738525&lt;/longitude&gt;
				&lt;latitude&gt;-5.300166907566887&lt;/latitude&gt;
				&lt;altitude&gt;0&lt;/altitude&gt;
				&lt;heading&gt;-0.02382545121360068&lt;/heading&gt;
				&lt;tilt&gt;30.00202975968043&lt;/tilt&gt;
				&lt;range&gt;451.9449107897041&lt;/range&gt;
				&lt;gx:altitudeMode&gt;relativeToSeaFloor&lt;/gx:altitudeMode&gt;
			&lt;/LookAt&gt;
			&lt;styleUrl&gt;#m_ylw-pushpin&lt;/styleUrl&gt;
			&lt;Point&gt;
				&lt;gx:drawOrder&gt;1&lt;/gx:drawOrder&gt;
				&lt;coordinates&gt;-42.712372,-5.299538,0&lt;/coordinates&gt;
			&lt;/Point&gt;
		&lt;/Placemark&gt;
		&lt;Placemark&gt;
			&lt;name&gt;Caminho sem título&lt;/name&gt;
			&lt;styleUrl&gt;#m_ylw-pushpin0&lt;/styleUrl&gt;
			&lt;LineString&gt;
				&lt;tessellate&gt;1&lt;/tessellate&gt;
				&lt;coordinates&gt;
					-42.71238909891247,-5.299590578236253,0 -42.71138530856496,-5.30081000858077,0 
				&lt;/coordinates&gt;
			&lt;/LineString&gt;
		&lt;/Placemark&gt;
		&lt;Placemark&gt;
			&lt;name&gt;7&lt;/name&gt;
			&lt;LookAt&gt;
				&lt;longitude&gt;-42.72178447395081&lt;/longitude&gt;
				&lt;latitude&gt;-5.292209083525871&lt;/latitude&gt;
				&lt;altitude&gt;0&lt;/altitude&gt;
				&lt;heading&gt;-0.02201809627694495&lt;/heading&gt;
				&lt;tilt&gt;25.87560505710464&lt;/tilt&gt;
				&lt;range&gt;7795.334411822728&lt;/range&gt;
				&lt;gx:altitudeMode&gt;relativeToSeaFloor&lt;/gx:altitudeMode&gt;
			&lt;/LookAt&gt;
			&lt;styleUrl&gt;#m_ylw-pushpin&lt;/styleUrl&gt;
			&lt;Point&gt;
				&lt;gx:drawOrder&gt;1&lt;/gx:drawOrder&gt;
				&lt;coordinates&gt;-42.709069,-5.300365,0&lt;/coordinates&gt;
			&lt;/Point&gt;
		&lt;/Placemark&gt;
		&lt;Placemark&gt;
			&lt;name&gt;8&lt;/name&gt;
			&lt;LookAt&gt;
				&lt;longitude&gt;-42.70883176453108&lt;/longitude&gt;
				&lt;latitude&gt;-5.300993807699641&lt;/latitude&gt;
				&lt;altitude&gt;0&lt;/altitude&gt;
				&lt;heading&gt;-0.02643375357774076&lt;/heading&gt;
				&lt;tilt&gt;30.00197545399655&lt;/tilt&gt;
				&lt;range&gt;439.8111636426131&lt;/range&gt;
				&lt;gx:altitudeMode&gt;relativeToSeaFloor&lt;/gx:altitudeMode&gt;
			&lt;/LookAt&gt;
			&lt;styleUrl&gt;#m_ylw-pushpin&lt;/styleUrl&gt;
			&lt;Point&gt;
				&lt;gx:drawOrder&gt;1&lt;/gx:drawOrder&gt;
				&lt;coordinates&gt;-42.7158,-5.306217,0&lt;/coordinates&gt;
			&lt;/Point&gt;
		&lt;/Placemark&gt;
		&lt;Placemark&gt;
			&lt;name&gt;Caminho sem título&lt;/name&gt;
			&lt;styleUrl&gt;#m_ylw-pushpin0&lt;/styleUrl&gt;
			&lt;LineString&gt;
				&lt;tessellate&gt;1&lt;/tessellate&gt;
				&lt;coordinates&gt;
					-42.70900778522481,-5.300405104904722,0 -42.71014718125454,-5.30141457689438,0 -42.71109270682022,-5.302206036562137,0 -42.71246045548006,-5.303371230650757,0 -42.71400007213169,-5.304654279402273,0 -42.71475925243757,-5.305333195286742,0 -42.71574240980725,-5.306234989957213,0 
				&lt;/coordinates&gt;
			&lt;/LineString&gt;
		&lt;/Placemark&gt;
		&lt;atom:link rel="app" href="https://www.google.com/earth/about/versions/#earth-pro" title="Google Earth Pro 7.3.6.10201"&gt;&lt;/atom:link&gt;
	&lt;/Folder&gt;
&lt;/Document&gt;
&lt;/kml&gt;</t>
  </si>
  <si>
    <t>REVITALIZAÇÃO DO PARQUE POTYCABANA NO MUNICIPIO DE TERESINA - PI</t>
  </si>
  <si>
    <t>REFORMA DO TELHADO DA SEDE DA SEDUC EM TERESINA CT 112/2023</t>
  </si>
  <si>
    <t>&lt;?xml version="1.0" encoding="UTF-8"?&gt;
&lt;kml xmlns="http://www.opengis.net/kml/2.2" xmlns:gx="http://www.google.com/kml/ext/2.2" xmlns:kml="http://www.opengis.net/kml/2.2" xmlns:atom="http://www.w3.org/2005/Atom"&gt;
&lt;Document&gt;
	&lt;name&gt;SEDUC.kml&lt;/name&gt;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&lt;name&gt;SEDUC&lt;/name&gt;
		&lt;LookAt&gt;
			&lt;longitude&gt;-42.81301475004117&lt;/longitude&gt;
			&lt;latitude&gt;-5.109154755594526&lt;/latitude&gt;
			&lt;altitude&gt;0&lt;/altitude&gt;
			&lt;heading&gt;-4.53296678450486&lt;/heading&gt;
			&lt;tilt&gt;11.25782414403555&lt;/tilt&gt;
			&lt;range&gt;524.9357295374024&lt;/range&gt;
			&lt;gx:altitudeMode&gt;relativeToSeaFloor&lt;/gx:altitudeMode&gt;
		&lt;/LookAt&gt;
		&lt;styleUrl&gt;#m_ylw-pushpin&lt;/styleUrl&gt;
		&lt;Point&gt;
			&lt;gx:drawOrder&gt;1&lt;/gx:drawOrder&gt;
			&lt;coordinates&gt;-42.81372601715104,-5.109660447652122,0&lt;/coordinates&gt;
		&lt;/Point&gt;
		&lt;atom:link rel="app" href="https://www.google.com/earth/about/versions/#earth-pro" title="Google Earth Pro 7.3.7.1155"&gt;&lt;/atom:link&gt;
	&lt;/Placemark&gt;
&lt;/Document&gt;
&lt;/kml&gt;</t>
  </si>
  <si>
    <t>ADEQUAÇÃO DA NOVA SEDE IAEPI</t>
  </si>
  <si>
    <t>SÃO CRISTOVÃO</t>
  </si>
  <si>
    <t>&lt;?xml version="1.0" encoding="UTF-8"?&gt;
&lt;kml xmlns="http://www.opengis.net/kml/2.2" xmlns:gx="http://www.google.com/kml/ext/2.2" xmlns:kml="http://www.opengis.net/kml/2.2" xmlns:atom="http://www.w3.org/2005/Atom"&gt;
&lt;Document id="document"&gt;
	&lt;name&gt;ADEQUAÇÃO DA NOVA SEDE IAEPI&lt;/name&gt;
	&lt;gx:CascadingStyle kml:id="__managed_style_0E62D371AF3F141F0CF6_highlight"&gt;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kml:id="__managed_style_0E62D371AF3F141F0CF6_normal"&gt;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id="__managed_style_0E62D371AF3F141F0CF6"&gt;
		&lt;Pair&gt;
			&lt;key&gt;normal&lt;/key&gt;
			&lt;styleUrl&gt;#__managed_style_0E62D371AF3F141F0CF6_normal&lt;/styleUrl&gt;
		&lt;/Pair&gt;
		&lt;Pair&gt;
			&lt;key&gt;highlight&lt;/key&gt;
			&lt;styleUrl&gt;#__managed_style_0E62D371AF3F141F0CF6_highlight&lt;/styleUrl&gt;
		&lt;/Pair&gt;
	&lt;/StyleMap&gt;
	&lt;gx:CascadingStyle kml:id="__managed_style_0C0750EB993F14136C5C_highlight"&gt;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kml:id="__managed_style_0C0750EB993F14136C5C_normal"&gt;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id="__managed_style_0C0750EB993F14136C5C"&gt;
		&lt;Pair&gt;
			&lt;key&gt;normal&lt;/key&gt;
			&lt;styleUrl&gt;#__managed_style_0C0750EB993F14136C5C_normal&lt;/styleUrl&gt;
		&lt;/Pair&gt;
		&lt;Pair&gt;
			&lt;key&gt;highlight&lt;/key&gt;
			&lt;styleUrl&gt;#__managed_style_0C0750EB993F14136C5C_highlight&lt;/styleUrl&gt;
		&lt;/Pair&gt;
	&lt;/StyleMap&gt;
	&lt;GroundOverlay id="0339183A1C3F14168A8C"&gt;
		&lt;name&gt;Área político-administrativa (nível 2)&lt;/name&gt;
		&lt;LookAt&gt;
			&lt;longitude&gt;-105&lt;/longitude&gt;
			&lt;latitude&gt;44&lt;/latitude&gt;
			&lt;altitude&gt;0&lt;/altitude&gt;
			&lt;heading&gt;0&lt;/heading&gt;
			&lt;tilt&gt;0&lt;/tilt&gt;
			&lt;gx:fovy&gt;30&lt;/gx:fovy&gt;
			&lt;range&gt;10000000&lt;/range&gt;
			&lt;altitudeMode&gt;absolute&lt;/altitudeMode&gt;
		&lt;/LookAt&gt;
		&lt;styleUrl&gt;#__managed_style_0C0750EB993F14136C5C&lt;/styleUrl&gt;
		&lt;drawOrder&gt;5&lt;/drawOrder&gt;
		&lt;Icon&gt;
			&lt;href&gt;data:image/gif;base64,R0lGODlhAQABAIAAAP///wAAACH5BAEAAAAALAAAAAABAAEAAAICRAEAOw==&lt;/href&gt;
		&lt;/Icon&gt;
		&lt;LatLonBox&gt;
			&lt;north&gt;85&lt;/north&gt;
			&lt;south&gt;-85&lt;/south&gt;
			&lt;east&gt;180&lt;/east&gt;
			&lt;west&gt;-180&lt;/west&gt;
		&lt;/LatLonBox&gt;
		&lt;gx:MapTilePyramid&gt;
			&lt;Link&gt;
				&lt;href&gt;earthdatalayer:0:CAESJDkyNTU4MzMwLTM4ZmQtNDQxNC1hNTI4LTk2M2Y1NzYwMmQ1Ng&lt;/href&gt;
			&lt;/Link&gt;
			&lt;gx:minLevel&gt;0&lt;/gx:minLevel&gt;
			&lt;gx:maxLevel&gt;22&lt;/gx:maxLevel&gt;
		&lt;/gx:MapTilePyramid&gt;
	&lt;/GroundOverlay&gt;
	&lt;Placemark id="060E9DBA653F141EDD4F"&gt;
		&lt;gx:mid&gt;/g/11xvmqrh00&lt;/gx:mid&gt;
		&lt;gx:fid&gt;0x78e3a1652b24a5b:0x4f15cce00f83d009&lt;/gx:fid&gt;
		&lt;LookAt&gt;
			&lt;longitude&gt;-42.7735418&lt;/longitude&gt;
			&lt;latitude&gt;-5.0773742&lt;/latitude&gt;
			&lt;altitude&gt;0&lt;/altitude&gt;
			&lt;heading&gt;0&lt;/heading&gt;
			&lt;tilt&gt;0&lt;/tilt&gt;
			&lt;gx:fovy&gt;35&lt;/gx:fovy&gt;
			&lt;range&gt;1051.901495996867&lt;/range&gt;
			&lt;altitudeMode&gt;relativeToGround&lt;/altitudeMode&gt;
		&lt;/LookAt&gt;
		&lt;styleUrl&gt;#__managed_style_0E62D371AF3F141F0CF6&lt;/styleUrl&gt;
		&lt;Point&gt;
			&lt;altitudeMode&gt;relativeToGround&lt;/altitudeMode&gt;
			&lt;coordinates&gt;-42.7735418,-5.0773742,0&lt;/coordinates&gt;
		&lt;/Point&gt;
	&lt;/Placemark&gt;
&lt;/Document&gt;
&lt;/kml&gt;</t>
  </si>
  <si>
    <t>PAVIMENTAÇÃO 18.544,74 M² DE VIAS EM PARALELEPÍPEDO NO MUNICÍPIO DE TERESINA-PI CONTRATO 85/2024</t>
  </si>
  <si>
    <t>CONSTRUÇÃO DE UM CAMPO DE FUTEBOL - PADRÃO GRANDE CENTRO URBANO - LOCALIZADO NO BAIRRO SANTA MARIA DA CODIPI NO MUNICÍPIO DE TERESINA - PI</t>
  </si>
  <si>
    <t>SANTA MARIA DA CODIPI</t>
  </si>
  <si>
    <t>PAVIMENTAÇÃO EM PARALELEPÍPEDO 6.400,00M² NO MUNICÍPIO DE TERESINA-PI CONTRATO 161/2024</t>
  </si>
  <si>
    <t>COMUNIDADE CACIMBA VELHA</t>
  </si>
  <si>
    <t>&lt;?xml version="1.0" encoding="UTF-8"?&gt;
&lt;kml xmlns="http://www.opengis.net/kml/2.2" xmlns:gx="http://www.google.com/kml/ext/2.2" xmlns:kml="http://www.opengis.net/kml/2.2" xmlns:atom="http://www.w3.org/2005/Atom"&gt;
&lt;Document&gt;
	&lt;name&gt;13024.kmz&lt;/name&gt;
	&lt;StyleMap id="m_ylw-pushpin"&gt;
		&lt;Pair&gt;
			&lt;key&gt;normal&lt;/key&gt;
			&lt;styleUrl&gt;#s_ylw-pushpin0&lt;/styleUrl&gt;
		&lt;/Pair&gt;
		&lt;Pair&gt;
			&lt;key&gt;highlight&lt;/key&gt;
			&lt;styleUrl&gt;#s_ylw-pushpin_hl&lt;/styleUrl&gt;
		&lt;/Pair&gt;
	&lt;/StyleMap&gt;
	&lt;StyleMap id="m_ylw-pushpin0"&gt;
		&lt;Pair&gt;
			&lt;key&gt;normal&lt;/key&gt;
			&lt;styleUrl&gt;#s_ylw-pushpin&lt;/styleUrl&gt;
		&lt;/Pair&gt;
		&lt;Pair&gt;
			&lt;key&gt;highlight&lt;/key&gt;
			&lt;styleUrl&gt;#s_ylw-pushpin_hl0&lt;/styleUrl&gt;
		&lt;/Pair&gt;
	&lt;/StyleMap&gt;
	&lt;Style id="s_ylw-pushpin"&gt;
		&lt;IconStyle&gt;
			&lt;scale&gt;1.1&lt;/scale&gt;
			&lt;Icon&gt;
				&lt;href&gt;http://maps.google.com/mapfiles/kml/pushpin/ylw-pushpin.png&lt;/href&gt;
			&lt;/Icon&gt;
			&lt;hotSpot x="20" y="2" xunits="pixels" yunits="pixels"/&gt;
		&lt;/IconStyle&gt;
	&lt;/Style&gt;
	&lt;Style id="s_ylw-pushpin0"&gt;
		&lt;IconStyle&gt;
			&lt;scale&gt;1.1&lt;/scale&gt;
			&lt;Icon&gt;
				&lt;href&gt;http://maps.google.com/mapfiles/kml/pushpin/ylw-pushpin.png&lt;/href&gt;
			&lt;/Icon&gt;
			&lt;hotSpot x="20" y="2" xunits="pixels" yunits="pixels"/&gt;
		&lt;/IconStyle&gt;
		&lt;LineStyle&gt;
			&lt;color&gt;ff0000ff&lt;/color&gt;
			&lt;width&gt;6&lt;/width&gt;
		&lt;/LineStyle&gt;
	&lt;/Style&gt;
	&lt;Style id="s_ylw-pushpin_hl"&gt;
		&lt;IconStyle&gt;
			&lt;scale&gt;1.3&lt;/scale&gt;
			&lt;Icon&gt;
				&lt;href&gt;http://maps.google.com/mapfiles/kml/pushpin/ylw-pushpin.png&lt;/href&gt;
			&lt;/Icon&gt;
			&lt;hotSpot x="20" y="2" xunits="pixels" yunits="pixels"/&gt;
		&lt;/IconStyle&gt;
		&lt;LineStyle&gt;
			&lt;color&gt;ff0000ff&lt;/color&gt;
			&lt;width&gt;6&lt;/width&gt;
		&lt;/LineStyle&gt;
	&lt;/Style&gt;
	&lt;Style id="s_ylw-pushpin_hl0"&gt;
		&lt;IconStyle&gt;
			&lt;scale&gt;1.3&lt;/scale&gt;
			&lt;Icon&gt;
				&lt;href&gt;http://maps.google.com/mapfiles/kml/pushpin/ylw-pushpin.png&lt;/href&gt;
			&lt;/Icon&gt;
			&lt;hotSpot x="20" y="2" xunits="pixels" yunits="pixels"/&gt;
		&lt;/IconStyle&gt;
	&lt;/Style&gt;
	&lt;Folder&gt;
		&lt;name&gt;Lugares temporários&lt;/name&gt;
		&lt;open&gt;1&lt;/open&gt;
		&lt;Placemark&gt;
			&lt;name&gt;5°11&amp;apos;45.31&amp;quot;S / 42°40&amp;apos;57.25&amp;quot;O&lt;/name&gt;
			&lt;LookAt&gt;
				&lt;longitude&gt;-42.80230649838418&lt;/longitude&gt;
				&lt;latitude&gt;-5.096124193783585&lt;/latitude&gt;
				&lt;altitude&gt;0&lt;/altitude&gt;
				&lt;heading&gt;-1.435324692344208e-10&lt;/heading&gt;
				&lt;tilt&gt;0&lt;/tilt&gt;
				&lt;range&gt;35905.20694859169&lt;/range&gt;
				&lt;gx:altitudeMode&gt;relativeToSeaFloor&lt;/gx:altitudeMode&gt;
			&lt;/LookAt&gt;
			&lt;styleUrl&gt;#m_ylw-pushpin0&lt;/styleUrl&gt;
			&lt;Point&gt;
				&lt;gx:drawOrder&gt;1&lt;/gx:drawOrder&gt;
				&lt;coordinates&gt;-42.68256944444444,-5.195919444444445,0&lt;/coordinates&gt;
			&lt;/Point&gt;
		&lt;/Placemark&gt;
		&lt;Placemark&gt;
			&lt;name&gt;  5°12&amp;apos;43.90&amp;quot;S /  42°40&amp;apos;27.28&amp;quot;O&lt;/name&gt;
			&lt;LookAt&gt;
				&lt;longitude&gt;-42.68167435478451&lt;/longitude&gt;
				&lt;latitude&gt;-5.195733127817305&lt;/latitude&gt;
				&lt;altitude&gt;0&lt;/altitude&gt;
				&lt;heading&gt;-0.01208955775674023&lt;/heading&gt;
				&lt;tilt&gt;30.00116577856942&lt;/tilt&gt;
				&lt;range&gt;259.536305453877&lt;/range&gt;
				&lt;gx:altitudeMode&gt;relativeToSeaFloor&lt;/gx:altitudeMode&gt;
			&lt;/LookAt&gt;
			&lt;styleUrl&gt;#m_ylw-pushpin0&lt;/styleUrl&gt;
			&lt;Point&gt;
				&lt;gx:drawOrder&gt;1&lt;/gx:drawOrder&gt;
				&lt;coordinates&gt;-42.67424444444444,-5.212194444444445,0&lt;/coordinates&gt;
			&lt;/Point&gt;
		&lt;/Placemark&gt;
		&lt;Placemark&gt;
			&lt;name&gt;RUA DO TROVÃO&lt;/name&gt;
			&lt;styleUrl&gt;#m_ylw-pushpin&lt;/styleUrl&gt;
			&lt;LineString&gt;
				&lt;tessellate&gt;1&lt;/tessellate&gt;
				&lt;coordinates&gt;
					-42.67423011721532,-5.212162463357481,0 -42.67533990051669,-5.211569302440149,0 -42.67652737717507,-5.210883951587407,0 -42.67754652269782,-5.21032894985946,0 -42.67817714644243,-5.209995888896479,0 -42.67916618606555,-5.209442071454725,0 -42.68014302595927,-5.208866353706642,0 -42.68332297212911,-5.207030621023121,0 
				&lt;/coordinates&gt;
			&lt;/LineString&gt;
		&lt;/Placemark&gt;
		&lt;Placemark&gt;
			&lt;name&gt;5°11&amp;apos;47.64&amp;quot;S / 42°40&amp;apos;51.58&amp;quot;O&lt;/name&gt;
			&lt;LookAt&gt;
				&lt;longitude&gt;-42.80230649838418&lt;/longitude&gt;
				&lt;latitude&gt;-5.096124193783585&lt;/latitude&gt;
				&lt;altitude&gt;0&lt;/altitude&gt;
				&lt;heading&gt;-1.435324692344208e-10&lt;/heading&gt;
				&lt;tilt&gt;0&lt;/tilt&gt;
				&lt;range&gt;35905.20694859169&lt;/range&gt;
				&lt;gx:altitudeMode&gt;relativeToSeaFloor&lt;/gx:altitudeMode&gt;
			&lt;/LookAt&gt;
			&lt;styleUrl&gt;#m_ylw-pushpin0&lt;/styleUrl&gt;
			&lt;Point&gt;
				&lt;gx:drawOrder&gt;1&lt;/gx:drawOrder&gt;
				&lt;coordinates&gt;-42.68099444444444,-5.196566666666667,0&lt;/coordinates&gt;
			&lt;/Point&gt;
		&lt;/Placemark&gt;
		&lt;Placemark&gt;
			&lt;name&gt;5°12&amp;apos;25.43&amp;quot;S / 42°41&amp;apos;0.20&amp;quot;O&lt;/name&gt;
			&lt;LookAt&gt;
				&lt;longitude&gt;-42.68167435478451&lt;/longitude&gt;
				&lt;latitude&gt;-5.195733127817305&lt;/latitude&gt;
				&lt;altitude&gt;0&lt;/altitude&gt;
				&lt;heading&gt;-0.01208955775674023&lt;/heading&gt;
				&lt;tilt&gt;30.00116577856942&lt;/tilt&gt;
				&lt;range&gt;259.536305453877&lt;/range&gt;
				&lt;gx:altitudeMode&gt;relativeToSeaFloor&lt;/gx:altitudeMode&gt;
			&lt;/LookAt&gt;
			&lt;styleUrl&gt;#m_ylw-pushpin0&lt;/styleUrl&gt;
			&lt;Point&gt;
				&lt;gx:drawOrder&gt;1&lt;/gx:drawOrder&gt;
				&lt;coordinates&gt;-42.68338888888889,-5.207063888888889,0&lt;/coordinates&gt;
			&lt;/Point&gt;
		&lt;/Placemark&gt;
		&lt;Placemark&gt;
			&lt;name&gt;RUA DA IGREJA&lt;/name&gt;
			&lt;styleUrl&gt;#m_ylw-pushpin&lt;/styleUrl&gt;
			&lt;LineString&gt;
				&lt;tessellate&gt;1&lt;/tessellate&gt;
				&lt;coordinates&gt;
					-42.68254491229179,-5.195893948848404,0 -42.68103489869606,-5.196514672460295,0 
				&lt;/coordinates&gt;
			&lt;/LineString&gt;
		&lt;/Placemark&gt;
		&lt;atom:link rel="app" href="https://www.google.com/earth/about/versions/#earth-pro" title="Google Earth Pro 7.3.6.10201"&gt;&lt;/atom:link&gt;
	&lt;/Folder&gt;
&lt;/Document&gt;
&lt;/kml&gt;</t>
  </si>
  <si>
    <t>CONSTRUÇÃO DE UM CALÇADÃO COM ÁREA DE 1.486,50 M², NO BAIRRO MORROS, MUNICÍPIO DE TERESINA-PI. (OPA). CONT. Nº 06/2025 - VM</t>
  </si>
  <si>
    <t>MORROS</t>
  </si>
  <si>
    <t>&lt;?xml version="1.0" encoding="UTF-8"?&gt;
&lt;kml xmlns="http://www.opengis.net/kml/2.2" xmlns:gx="http://www.google.com/kml/ext/2.2" xmlns:kml="http://www.opengis.net/kml/2.2" xmlns:atom="http://www.w3.org/2005/Atom"&gt;
&lt;Document&gt;
	&lt;name&gt;ID_14455.kmz&lt;/name&gt;
	&lt;StyleMap id="m_ylw-pushpin"&gt;
		&lt;Pair&gt;
			&lt;key&gt;normal&lt;/key&gt;
			&lt;styleUrl&gt;#s_ylw-pushpin0&lt;/styleUrl&gt;
		&lt;/Pair&gt;
		&lt;Pair&gt;
			&lt;key&gt;highlight&lt;/key&gt;
			&lt;styleUrl&gt;#s_ylw-pushpin_hl0&lt;/styleUrl&gt;
		&lt;/Pair&gt;
	&lt;/StyleMap&gt;
	&lt;StyleMap id="m_ylw-pushpin0"&gt;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id="s_ylw-pushpin0"&gt;
		&lt;IconStyle&gt;
			&lt;scale&gt;1.1&lt;/scale&gt;
			&lt;Icon&gt;
				&lt;href&gt;http://maps.google.com/mapfiles/kml/pushpin/ylw-pushpin.png&lt;/href&gt;
			&lt;/Icon&gt;
			&lt;hotSpot x="20" y="2" xunits="pixels" yunits="pixels"/&gt;
		&lt;/IconStyle&gt;
		&lt;LineStyle&gt;
			&lt;width&gt;2&lt;/width&gt;
		&lt;/LineStyle&gt;
	&lt;/Style&gt;
	&lt;Style id="s_ylw-pushpin_hl"&gt;
		&lt;IconStyle&gt;
			&lt;scale&gt;1.3&lt;/scale&gt;
			&lt;Icon&gt;
				&lt;href&gt;http://maps.google.com/mapfiles/kml/pushpin/ylw-pushpin.png&lt;/href&gt;
			&lt;/Icon&gt;
			&lt;hotSpot x="20" y="2" xunits="pixels" yunits="pixels"/&gt;
		&lt;/IconStyle&gt;
	&lt;/Style&gt;
	&lt;Style id="s_ylw-pushpin_hl0"&gt;
		&lt;IconStyle&gt;
			&lt;scale&gt;1.3&lt;/scale&gt;
			&lt;Icon&gt;
				&lt;href&gt;http://maps.google.com/mapfiles/kml/pushpin/ylw-pushpin.png&lt;/href&gt;
			&lt;/Icon&gt;
			&lt;hotSpot x="20" y="2" xunits="pixels" yunits="pixels"/&gt;
		&lt;/IconStyle&gt;
		&lt;LineStyle&gt;
			&lt;width&gt;2&lt;/width&gt;
		&lt;/LineStyle&gt;
	&lt;/Style&gt;
	&lt;Folder&gt;
		&lt;name&gt;ID_14455&lt;/name&gt;
		&lt;open&gt;1&lt;/open&gt;
		&lt;Placemark&gt;
			&lt;name&gt;Incio&lt;/name&gt;
			&lt;LookAt&gt;
				&lt;longitude&gt;-42.75155097251848&lt;/longitude&gt;
				&lt;latitude&gt;-5.030546956190154&lt;/latitude&gt;
				&lt;altitude&gt;0&lt;/altitude&gt;
				&lt;heading&gt;-0.2758550380458707&lt;/heading&gt;
				&lt;tilt&gt;21.85368075812664&lt;/tilt&gt;
				&lt;range&gt;359.8540682793966&lt;/range&gt;
				&lt;gx:altitudeMode&gt;relativeToSeaFloor&lt;/gx:altitudeMode&gt;
			&lt;/LookAt&gt;
			&lt;styleUrl&gt;#m_ylw-pushpin0&lt;/styleUrl&gt;
			&lt;Point&gt;
				&lt;gx:drawOrder&gt;1&lt;/gx:drawOrder&gt;
				&lt;coordinates&gt;-42.75147516027984,-5.030034916037883,0&lt;/coordinates&gt;
			&lt;/Point&gt;
		&lt;/Placemark&gt;
		&lt;Placemark&gt;
			&lt;name&gt;Fim&lt;/name&gt;
			&lt;LookAt&gt;
				&lt;longitude&gt;-42.75101448994841&lt;/longitude&gt;
				&lt;latitude&gt;-5.033553029270775&lt;/latitude&gt;
				&lt;altitude&gt;0&lt;/altitude&gt;
				&lt;heading&gt;-0.2760637253191491&lt;/heading&gt;
				&lt;tilt&gt;30.0023266458609&lt;/tilt&gt;
				&lt;range&gt;518.0550713583217&lt;/range&gt;
				&lt;gx:altitudeMode&gt;relativeToSeaFloor&lt;/gx:altitudeMode&gt;
			&lt;/LookAt&gt;
			&lt;styleUrl&gt;#m_ylw-pushpin0&lt;/styleUrl&gt;
			&lt;Point&gt;
				&lt;gx:drawOrder&gt;1&lt;/gx:drawOrder&gt;
				&lt;coordinates&gt;-42.75149586339478,-5.034564349389306,0&lt;/coordinates&gt;
			&lt;/Point&gt;
		&lt;/Placemark&gt;
		&lt;Placemark&gt;
			&lt;name&gt;CALÇADÃO&lt;/name&gt;
			&lt;styleUrl&gt;#m_ylw-pushpin&lt;/styleUrl&gt;
			&lt;LineString&gt;
				&lt;tessellate&gt;1&lt;/tessellate&gt;
				&lt;coordinates&gt;
					-42.75150414997295,-5.034553971284055,0 -42.75151948257035,-5.033563911549797,0 -42.75152759048876,-5.032956243975097,0 -42.75153639342737,-5.031994659004781,0 -42.75152381185322,-5.031352221878362,0 -42.75149379331514,-5.030032692381756,0 
				&lt;/coordinates&gt;
			&lt;/LineString&gt;
		&lt;/Placemark&gt;
		&lt;atom:link rel="app" href="https://www.google.com/earth/about/versions/#earth-pro" title="Google Earth Pro 7.3.6.10201"&gt;&lt;/atom:link&gt;
	&lt;/Folder&gt;
&lt;/Document&gt;
&lt;/kml&gt;</t>
  </si>
  <si>
    <t>EXECUTAR SERVIÇOS DE PAVIMENTAÇÃO EM PARALELEPÍPEDO DE 12.162,00M² EM TERESINA-PI CONTRATO 162/2024</t>
  </si>
  <si>
    <t>SOINHO</t>
  </si>
  <si>
    <t>RURAL LESTE</t>
  </si>
  <si>
    <t>SESAPI</t>
  </si>
  <si>
    <t>EXECUÇÃO DA OBRA DE REFORMA E AMPLIAÇÃO DO HOSPITAL NATAN PORTELA PARA IMPLANTAÇÃO DE SALAS DE TRATAMENTO E ISOLAMENTO DOS PACIENTES INFECTADOS PELO NOVO CORONAVIRUS.</t>
  </si>
  <si>
    <t>REFORMA DE UM CAMPO DE FUTEBOL NO MUNICÍPIO DE TERESINA-PI (CIDADE INDUSTRIAL)</t>
  </si>
  <si>
    <t>CIDADE INDUSTRIAL</t>
  </si>
  <si>
    <t>CONSTRUÇÃO DE UM CAMPO DE FUTEBOL EM TERESINA - PI LOCALIZADO NO BAIRRO GURUPI</t>
  </si>
  <si>
    <t>GURUPI</t>
  </si>
  <si>
    <t>REFORMA POSTO FISCAL TABULETA / SEFAZ-PI</t>
  </si>
  <si>
    <t>PARQUE SÃO JOÃO</t>
  </si>
  <si>
    <t>&lt;?xml version="1.0" encoding="UTF-8"?&gt;
&lt;kml xmlns="http://www.opengis.net/kml/2.2" xmlns:gx="http://www.google.com/kml/ext/2.2" xmlns:kml="http://www.opengis.net/kml/2.2" xmlns:atom="http://www.w3.org/2005/Atom"&gt;
&lt;Document id="document"&gt;
	&lt;name&gt;Mapa sem título&lt;/name&gt;
	&lt;gx:CascadingStyle kml:id="__managed_style_054AF7C5163F13F219A0_highlight"&gt;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kml:id="__managed_style_054AF7C5163F13F219A0_normal"&gt;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id="__managed_style_054AF7C5163F13F219A0"&gt;
		&lt;Pair&gt;
			&lt;key&gt;normal&lt;/key&gt;
			&lt;styleUrl&gt;#__managed_style_054AF7C5163F13F219A0_normal&lt;/styleUrl&gt;
		&lt;/Pair&gt;
		&lt;Pair&gt;
			&lt;key&gt;highlight&lt;/key&gt;
			&lt;styleUrl&gt;#__managed_style_054AF7C5163F13F219A0_highlight&lt;/styleUrl&gt;
		&lt;/Pair&gt;
	&lt;/StyleMap&gt;
	&lt;Placemark id="0D08F8242A3F13F5522C"&gt;
		&lt;gx:mid&gt;/g/11b6j72wwt&lt;/gx:mid&gt;
		&lt;gx:fid&gt;0x78e372bba603aef:0x7832d63bb3238144&lt;/gx:fid&gt;
		&lt;LookAt&gt;
			&lt;longitude&gt;-42.8050801&lt;/longitude&gt;
			&lt;latitude&gt;-5.128209999999999&lt;/latitude&gt;
			&lt;altitude&gt;0&lt;/altitude&gt;
			&lt;heading&gt;0&lt;/heading&gt;
			&lt;tilt&gt;0&lt;/tilt&gt;
			&lt;gx:fovy&gt;35&lt;/gx:fovy&gt;
			&lt;range&gt;1051.808203014035&lt;/range&gt;
			&lt;altitudeMode&gt;relativeToGround&lt;/altitudeMode&gt;
		&lt;/LookAt&gt;
		&lt;styleUrl&gt;#__managed_style_054AF7C5163F13F219A0&lt;/styleUrl&gt;
		&lt;Point&gt;
			&lt;altitudeMode&gt;relativeToGround&lt;/altitudeMode&gt;
			&lt;coordinates&gt;-42.8050801,-5.12821,0&lt;/coordinates&gt;
		&lt;/Point&gt;
	&lt;/Placemark&gt;
&lt;/Document&gt;
&lt;/kml&gt;</t>
  </si>
  <si>
    <t>CONSTRUÇÃO DE EDIFICIO PARA ABRIGAR O INSTITUTO DE DNA FORENSE - TERESINA- PI</t>
  </si>
  <si>
    <t>&lt;?xml version="1.0" encoding="UTF-8"?&gt;
&lt;kml xmlns="http://www.opengis.net/kml/2.2" xmlns:gx="http://www.google.com/kml/ext/2.2" xmlns:kml="http://www.opengis.net/kml/2.2" xmlns:atom="http://www.w3.org/2005/Atom"&gt;
&lt;Document id="document"&gt;
	&lt;name&gt;Mapa sem título&lt;/name&gt;
	&lt;gx:CascadingStyle kml:id="__managed_style_027E359C093F14116E5E_highlight"&gt;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kml:id="__managed_style_027E359C093F14116E5E_normal"&gt;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id="__managed_style_027E359C093F14116E5E"&gt;
		&lt;Pair&gt;
			&lt;key&gt;normal&lt;/key&gt;
			&lt;styleUrl&gt;#__managed_style_027E359C093F14116E5E_normal&lt;/styleUrl&gt;
		&lt;/Pair&gt;
		&lt;Pair&gt;
			&lt;key&gt;highlight&lt;/key&gt;
			&lt;styleUrl&gt;#__managed_style_027E359C093F14116E5E_highlight&lt;/styleUrl&gt;
		&lt;/Pair&gt;
	&lt;/StyleMap&gt;
	&lt;Placemark id="05C98C34EF3F14116E4F"&gt;
		&lt;name&gt;Marcador de local sem título&lt;/name&gt;
		&lt;LookAt&gt;
			&lt;longitude&gt;-42.80141549600189&lt;/longitude&gt;
			&lt;latitude&gt;-5.135307184369786&lt;/latitude&gt;
			&lt;altitude&gt;91.10536271531093&lt;/altitude&gt;
			&lt;heading&gt;0&lt;/heading&gt;
			&lt;tilt&gt;0&lt;/tilt&gt;
			&lt;gx:fovy&gt;35&lt;/gx:fovy&gt;
			&lt;range&gt;841.5592562801612&lt;/range&gt;
			&lt;altitudeMode&gt;absolute&lt;/altitudeMode&gt;
		&lt;/LookAt&gt;
		&lt;styleUrl&gt;#__managed_style_027E359C093F14116E5E&lt;/styleUrl&gt;
		&lt;Point&gt;
			&lt;coordinates&gt;-42.80221936239437,-5.13528946388337,88.1404962056716&lt;/coordinates&gt;
		&lt;/Point&gt;
	&lt;/Placemark&gt;
&lt;/Document&gt;
&lt;/kml&gt;</t>
  </si>
  <si>
    <t>REFORMA DO TETO DA QUADRA DA UESPI - CAMPUS TORQUATO NETO</t>
  </si>
  <si>
    <t>&lt;?xml version="1.0" encoding="UTF-8"?&gt;
&lt;kml xmlns="http://www.opengis.net/kml/2.2" xmlns:gx="http://www.google.com/kml/ext/2.2" xmlns:kml="http://www.opengis.net/kml/2.2" xmlns:atom="http://www.w3.org/2005/Atom"&gt;
&lt;Document id="document"&gt;
	&lt;name&gt;Mapa sem título&lt;/name&gt;
	&lt;gx:CascadingStyle kml:id="__managed_style_0198E4ADAE3F13BFCA80_highlight"&gt;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kml:id="__managed_style_0198E4ADAE3F13BFCA80_normal"&gt;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id="__managed_style_0198E4ADAE3F13BFCA80"&gt;
		&lt;Pair&gt;
			&lt;key&gt;normal&lt;/key&gt;
			&lt;styleUrl&gt;#__managed_style_0198E4ADAE3F13BFCA80_normal&lt;/styleUrl&gt;
		&lt;/Pair&gt;
		&lt;Pair&gt;
			&lt;key&gt;highlight&lt;/key&gt;
			&lt;styleUrl&gt;#__managed_style_0198E4ADAE3F13BFCA80_highlight&lt;/styleUrl&gt;
		&lt;/Pair&gt;
	&lt;/StyleMap&gt;
	&lt;Placemark id="0A1C786AD93F13BFCA34"&gt;
		&lt;name&gt;UESPI&lt;/name&gt;
		&lt;LookAt&gt;
			&lt;longitude&gt;-42.82797376040818&lt;/longitude&gt;
			&lt;latitude&gt;-5.078131835244839&lt;/latitude&gt;
			&lt;altitude&gt;62.49078937922122&lt;/altitude&gt;
			&lt;heading&gt;60.11070773924064&lt;/heading&gt;
			&lt;tilt&gt;0&lt;/tilt&gt;
			&lt;gx:fovy&gt;35&lt;/gx:fovy&gt;
			&lt;range&gt;251.0325689409729&lt;/range&gt;
			&lt;altitudeMode&gt;absolute&lt;/altitudeMode&gt;
		&lt;/LookAt&gt;
		&lt;styleUrl&gt;#__managed_style_0198E4ADAE3F13BFCA80&lt;/styleUrl&gt;
		&lt;Point&gt;
			&lt;coordinates&gt;-42.8277780571237,-5.078662323170693,62.62973116393736&lt;/coordinates&gt;
		&lt;/Point&gt;
	&lt;/Placemark&gt;
&lt;/Document&gt;
&lt;/kml&gt;</t>
  </si>
  <si>
    <t>ADH</t>
  </si>
  <si>
    <t>PAVIMENTAÇÃO EM PARALELEPÍPEDO (RESIDENCIAL JATOBÁ), TERESINA - PIAUÍ</t>
  </si>
  <si>
    <t>RESIDENCIAL JATOBÁ (ANGELIM)</t>
  </si>
  <si>
    <t>IMPLANTAÇÃO DE SISTEMA DE ABASTECIMENTO DE ÁGUA NA LOCALIDADE VILA PADRE CÍCERO, ZONA URBANA DE TERESINA - PI</t>
  </si>
  <si>
    <t>SANTA LIA</t>
  </si>
  <si>
    <t>&lt;?xml version="1.0" encoding="UTF-8"?&gt;
&lt;kml xmlns="http://www.opengis.net/kml/2.2" xmlns:gx="http://www.google.com/kml/ext/2.2" xmlns:kml="http://www.opengis.net/kml/2.2" xmlns:atom="http://www.w3.org/2005/Atom"&gt;
&lt;Document id="document"&gt;
	&lt;name&gt;Mapa sem título&lt;/name&gt;
	&lt;gx:CascadingStyle kml:id="__managed_style_0FA48EE74A3F13ED74BF_normal"&gt;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&lt;gx:CascadingStyle kml:id="__managed_style_0FA48EE74A3F13ED74BF_highlight"&gt;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&lt;StyleMap id="__managed_style_0FA48EE74A3F13ED74BF"&gt;
		&lt;Pair&gt;
			&lt;key&gt;normal&lt;/key&gt;
			&lt;styleUrl&gt;#__managed_style_0FA48EE74A3F13ED74BF_normal&lt;/styleUrl&gt;
		&lt;/Pair&gt;
		&lt;Pair&gt;
			&lt;key&gt;highlight&lt;/key&gt;
			&lt;styleUrl&gt;#__managed_style_0FA48EE74A3F13ED74BF_highlight&lt;/styleUrl&gt;
		&lt;/Pair&gt;
	&lt;/StyleMap&gt;
	&lt;Placemark id="0AF04F0BD93F13ED7476"&gt;
		&lt;name&gt;5°03&amp;apos;35.0&amp;quot;S 42°45&amp;apos;04.0&amp;quot;W&lt;/name&gt;
		&lt;LookAt&gt;
			&lt;longitude&gt;-42.7511111&lt;/longitude&gt;
			&lt;latitude&gt;-5.0597222&lt;/latitude&gt;
			&lt;altitude&gt;0&lt;/altitude&gt;
			&lt;heading&gt;0&lt;/heading&gt;
			&lt;tilt&gt;0&lt;/tilt&gt;
			&lt;gx:fovy&gt;35&lt;/gx:fovy&gt;
			&lt;range&gt;1051.933674184248&lt;/range&gt;
			&lt;altitudeMode&gt;relativeToGround&lt;/altitudeMode&gt;
		&lt;/LookAt&gt;
		&lt;styleUrl&gt;#__managed_style_0FA48EE74A3F13ED74BF&lt;/styleUrl&gt;
		&lt;Point&gt;
			&lt;extrude&gt;1&lt;/extrude&gt;
			&lt;coordinates&gt;-42.7511111,-5.0597222,0&lt;/coordinates&gt;
		&lt;/Point&gt;
	&lt;/Placemark&gt;
&lt;/Document&gt;
&lt;/kml&gt;</t>
  </si>
  <si>
    <t>PAVIMENTAÇÃO EM PARALELEPÍPEDO (COMUNIDADE SANTA LIA E URUGUAI), TERESINA - PIAUÍ</t>
  </si>
  <si>
    <t>URUGUAI</t>
  </si>
  <si>
    <t>&lt;?xml version="1.0" encoding="UTF-8"?&gt;
&lt;kml xmlns="http://www.opengis.net/kml/2.2" xmlns:gx="http://www.google.com/kml/ext/2.2" xmlns:kml="http://www.opengis.net/kml/2.2" xmlns:atom="http://www.w3.org/2005/Atom"&gt;
&lt;Document id="document"&gt;
	&lt;name&gt;Mapa sem título&lt;/name&gt;
	&lt;gx:CascadingStyle kml:id="__managed_style_0546028AD23F142D51EC"&gt;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&lt;width&gt;4.8&lt;/width&gt;
			&lt;/LineStyle&gt;
			&lt;PolyStyle&gt;
				&lt;color&gt;40ffffff&lt;/color&gt;
			&lt;/PolyStyle&gt;
			&lt;BalloonStyle&gt;
				&lt;displayMode&gt;hide&lt;/displayMode&gt;
			&lt;/BalloonStyle&gt;
		&lt;/Style&gt;
	&lt;/gx:CascadingStyle&gt;
	&lt;gx:CascadingStyle kml:id="__managed_style_1F6E5F07FB3F142D51EB"&gt;
		&lt;Style&gt;
			&lt;IconStyle&gt;
				&lt;Icon&gt;
					&lt;href&gt;https://earth.google.com/earth/document/icon?color=1976d2&amp;amp;id=2000&amp;amp;scale=4&lt;/href&gt;
				&lt;/Icon&gt;
				&lt;hotSpot x="64" y="128" xunits="pixels" yunits="insetPixels"/&gt;
			&lt;/IconStyle&gt;
			&lt;LabelStyle&gt;
			&lt;/LabelStyle&gt;
			&lt;LineStyle&gt;
				&lt;color&gt;ff2dc0fb&lt;/color&gt;
				&lt;width&gt;3.2&lt;/width&gt;
			&lt;/LineStyle&gt;
			&lt;PolyStyle&gt;
				&lt;color&gt;40ffffff&lt;/color&gt;
			&lt;/PolyStyle&gt;
			&lt;BalloonStyle&gt;
				&lt;displayMode&gt;hide&lt;/displayMode&gt;
			&lt;/BalloonStyle&gt;
		&lt;/Style&gt;
	&lt;/gx:CascadingStyle&gt;
	&lt;StyleMap id="__managed_style_08364BB0893F142D51EB"&gt;
		&lt;Pair&gt;
			&lt;key&gt;normal&lt;/key&gt;
			&lt;styleUrl&gt;#__managed_style_1F6E5F07FB3F142D51EB&lt;/styleUrl&gt;
		&lt;/Pair&gt;
		&lt;Pair&gt;
			&lt;key&gt;highlight&lt;/key&gt;
			&lt;styleUrl&gt;#__managed_style_0546028AD23F142D51EC&lt;/styleUrl&gt;
		&lt;/Pair&gt;
	&lt;/StyleMap&gt;
	&lt;Placemark id="00C05A89023F142D51D4"&gt;
		&lt;name&gt;INICIO RUA SÃO LEONARDO&lt;/name&gt;
		&lt;LookAt&gt;
			&lt;longitude&gt;-42.81881577952618&lt;/longitude&gt;
			&lt;latitude&gt;-4.983390090551&lt;/latitude&gt;
			&lt;altitude&gt;124.2190189306538&lt;/altitude&gt;
			&lt;heading&gt;0&lt;/heading&gt;
			&lt;tilt&gt;0&lt;/tilt&gt;
			&lt;gx:fovy&gt;35&lt;/gx:fovy&gt;
			&lt;range&gt;512.2538251397054&lt;/range&gt;
			&lt;altitudeMode&gt;absolute&lt;/altitudeMode&gt;
		&lt;/LookAt&gt;
		&lt;styleUrl&gt;#__managed_style_08364BB0893F142D51EB&lt;/styleUrl&gt;
		&lt;Point&gt;
			&lt;coordinates&gt;-42.74542,-5.058681,122.1935402514534&lt;/coordinates&gt;
		&lt;/Point&gt;
	&lt;/Placemark&gt;
	&lt;Placemark id="018130E33B3F142ED650"&gt;
		&lt;name&gt;FIM - RUA SÃO LEONARDO&lt;/name&gt;
		&lt;LookAt&gt;
			&lt;longitude&gt;-42.74526424798631&lt;/longitude&gt;
			&lt;latitude&gt;-5.058835769541343&lt;/latitude&gt;
			&lt;altitude&gt;116.1415322492244&lt;/altitude&gt;
			&lt;heading&gt;0&lt;/heading&gt;
			&lt;tilt&gt;0&lt;/tilt&gt;
			&lt;gx:fovy&gt;35&lt;/gx:fovy&gt;
			&lt;range&gt;199.2902239798423&lt;/range&gt;
			&lt;altitudeMode&gt;absolute&lt;/altitudeMode&gt;
		&lt;/LookAt&gt;
		&lt;styleUrl&gt;#__managed_style_08364BB0893F142D51EB&lt;/styleUrl&gt;
		&lt;Point&gt;
			&lt;coordinates&gt;-42.745683,-5.0625,115.4276118062408&lt;/coordinates&gt;
		&lt;/Point&gt;
	&lt;/Placemark&gt;
	&lt;Placemark id="097ADD14A33F142FB914"&gt;
		&lt;name&gt;RUA SÃO LEONARDO&lt;/name&gt;
		&lt;LookAt&gt;
			&lt;longitude&gt;-42.74437121155696&lt;/longitude&gt;
			&lt;latitude&gt;-5.060431812668806&lt;/latitude&gt;
			&lt;altitude&gt;119.0804283549772&lt;/altitude&gt;
			&lt;heading&gt;0&lt;/heading&gt;
			&lt;tilt&gt;0&lt;/tilt&gt;
			&lt;gx:fovy&gt;35&lt;/gx:fovy&gt;
			&lt;range&gt;1692.450184904155&lt;/range&gt;
			&lt;altitudeMode&gt;absolute&lt;/altitudeMode&gt;
		&lt;/LookAt&gt;
		&lt;styleUrl&gt;#__managed_style_08364BB0893F142D51EB&lt;/styleUrl&gt;
		&lt;LineString&gt;
			&lt;coordinates&gt;
				-42.74564677449894,-5.062422579054938,0 -42.74541337826476,-5.058680689648805,0 
			&lt;/coordinates&gt;
		&lt;/LineString&gt;
	&lt;/Placemark&gt;
	&lt;Placemark id="06651E71233F142FF3AC"&gt;
		&lt;name&gt;INICIO - RUA ELIAS ARAGÃO&lt;/name&gt;
		&lt;LookAt&gt;
			&lt;longitude&gt;-42.74437121155696&lt;/longitude&gt;
			&lt;latitude&gt;-5.060431812668806&lt;/latitude&gt;
			&lt;altitude&gt;119.0804283549772&lt;/altitude&gt;
			&lt;heading&gt;0&lt;/heading&gt;
			&lt;tilt&gt;0&lt;/tilt&gt;
			&lt;gx:fovy&gt;35&lt;/gx:fovy&gt;
			&lt;range&gt;1692.450184904155&lt;/range&gt;
			&lt;altitudeMode&gt;absolute&lt;/altitudeMode&gt;
		&lt;/LookAt&gt;
		&lt;styleUrl&gt;#__managed_style_08364BB0893F142D51EB&lt;/styleUrl&gt;
		&lt;Point&gt;
			&lt;coordinates&gt;-42.745495,-5.06057,112.8697749476226&lt;/coordinates&gt;
		&lt;/Point&gt;
	&lt;/Placemark&gt;
	&lt;Placemark id="086B45FC473F1430815B"&gt;
		&lt;name&gt;FIM - RUA ELIAS ARAGÃO&lt;/name&gt;
		&lt;LookAt&gt;
			&lt;longitude&gt;-42.74437121155696&lt;/longitude&gt;
			&lt;latitude&gt;-5.060431812668806&lt;/latitude&gt;
			&lt;altitude&gt;119.0804283549772&lt;/altitude&gt;
			&lt;heading&gt;0&lt;/heading&gt;
			&lt;tilt&gt;0&lt;/tilt&gt;
			&lt;gx:fovy&gt;35&lt;/gx:fovy&gt;
			&lt;range&gt;1692.450184904155&lt;/range&gt;
			&lt;altitudeMode&gt;absolute&lt;/altitudeMode&gt;
		&lt;/LookAt&gt;
		&lt;styleUrl&gt;#__managed_style_08364BB0893F142D51EB&lt;/styleUrl&gt;
		&lt;Point&gt;
			&lt;coordinates&gt;-42.743979,-5.060557,123.3303725577585&lt;/coordinates&gt;
		&lt;/Point&gt;
	&lt;/Placemark&gt;
	&lt;Placemark id="00D66AE0EA3F143178C0"&gt;
		&lt;name&gt;RUA ELIAS ARAGÃO&lt;/name&gt;
		&lt;LookAt&gt;
			&lt;longitude&gt;-42.74437121155696&lt;/longitude&gt;
			&lt;latitude&gt;-5.060431812668806&lt;/latitude&gt;
			&lt;altitude&gt;119.0804283549772&lt;/altitude&gt;
			&lt;heading&gt;0&lt;/heading&gt;
			&lt;tilt&gt;0&lt;/tilt&gt;
			&lt;gx:fovy&gt;35&lt;/gx:fovy&gt;
			&lt;range&gt;1692.450184904155&lt;/range&gt;
			&lt;altitudeMode&gt;absolute&lt;/altitudeMode&gt;
		&lt;/LookAt&gt;
		&lt;styleUrl&gt;#__managed_style_08364BB0893F142D51EB&lt;/styleUrl&gt;
		&lt;LineString&gt;
			&lt;coordinates&gt;
				-42.74550322510932,-5.060538551524958,0 -42.74399967324548,-5.060548826640344,0 -42.74399967324548,-5.060548826640344,0 
			&lt;/coordinates&gt;
		&lt;/LineString&gt;
	&lt;/Placemark&gt;
	&lt;Placemark id="027002FFCF3F1431B7E8"&gt;
		&lt;name&gt;INICIO - RUA ARAGUAINA&lt;/name&gt;
		&lt;LookAt&gt;
			&lt;longitude&gt;-42.74437121155696&lt;/longitude&gt;
			&lt;latitude&gt;-5.060431812668806&lt;/latitude&gt;
			&lt;altitude&gt;119.0804283549772&lt;/altitude&gt;
			&lt;heading&gt;0&lt;/heading&gt;
			&lt;tilt&gt;0&lt;/tilt&gt;
			&lt;gx:fovy&gt;35&lt;/gx:fovy&gt;
			&lt;range&gt;1692.450184904155&lt;/range&gt;
			&lt;altitudeMode&gt;absolute&lt;/altitudeMode&gt;
		&lt;/LookAt&gt;
		&lt;styleUrl&gt;#__managed_style_08364BB0893F142D51EB&lt;/styleUrl&gt;
		&lt;Point&gt;
			&lt;coordinates&gt;-42.748722,-5.060644,118.5687572255838&lt;/coordinates&gt;
		&lt;/Point&gt;
	&lt;/Placemark&gt;
	&lt;Placemark id="0705B4D9D73F143251B0"&gt;
		&lt;name&gt;FIM - RUA ARAGUAINA&lt;/name&gt;
		&lt;LookAt&gt;
			&lt;longitude&gt;-42.74437121155696&lt;/longitude&gt;
			&lt;latitude&gt;-5.060431812668806&lt;/latitude&gt;
			&lt;altitude&gt;119.0804283549772&lt;/altitude&gt;
			&lt;heading&gt;0&lt;/heading&gt;
			&lt;tilt&gt;0&lt;/tilt&gt;
			&lt;gx:fovy&gt;35&lt;/gx:fovy&gt;
			&lt;range&gt;1692.450184904155&lt;/range&gt;
			&lt;altitudeMode&gt;absolute&lt;/altitudeMode&gt;
		&lt;/LookAt&gt;
		&lt;styleUrl&gt;#__managed_style_08364BB0893F142D51EB&lt;/styleUrl&gt;
		&lt;Point&gt;
			&lt;coordinates&gt;-42.745516,-5.060634,112.0461392836872&lt;/coordinates&gt;
		&lt;/Point&gt;
	&lt;/Placemark&gt;
	&lt;Placemark id="060C40B5203F1432F989"&gt;
		&lt;name&gt;RUA ARAGUAINA&lt;/name&gt;
		&lt;LookAt&gt;
			&lt;longitude&gt;-42.74437121155696&lt;/longitude&gt;
			&lt;latitude&gt;-5.060431812668806&lt;/latitude&gt;
			&lt;altitude&gt;119.0804283549772&lt;/altitude&gt;
			&lt;heading&gt;0&lt;/heading&gt;
			&lt;tilt&gt;0&lt;/tilt&gt;
			&lt;gx:fovy&gt;35&lt;/gx:fovy&gt;
			&lt;range&gt;1692.450184904155&lt;/range&gt;
			&lt;altitudeMode&gt;absolute&lt;/altitudeMode&gt;
		&lt;/LookAt&gt;
		&lt;styleUrl&gt;#__managed_style_08364BB0893F142D51EB&lt;/styleUrl&gt;
		&lt;LineString&gt;
			&lt;coordinates&gt;
				-42.74871283891924,-5.060570689818968,0 -42.745514278252,-5.060571400985899,0 
			&lt;/coordinates&gt;
		&lt;/LineString&gt;
	&lt;/Placemark&gt;
&lt;/Document&gt;
&lt;/kml&gt;</t>
  </si>
  <si>
    <t>PAVIMENTAÇÃO ASFÁLTICA NOS ACOSTAMENTOS DA ROD. DE ACESSO AO POV. MUCUIM, ZONA RURAL DE TERESINA-PI.</t>
  </si>
  <si>
    <t>IMPLANTAÇÃO DE 01 (UM) SISTEMA SIMPLIFICADO DE ABASTECIMENTO DE ÁGUA NA LOCALIDADE: ASSENTAMENTO 8 DE 
 MARÇO II, NA ZONA RURAL DO MUNICÍPIO DE TERESINA– PI.</t>
  </si>
  <si>
    <t>ASSENTAMENTO 8 DE 
 MARÇO</t>
  </si>
  <si>
    <t>&lt;?xml version="1.0" encoding="UTF-8"?&gt;
&lt;kml xmlns="http://www.opengis.net/kml/2.2" xmlns:gx="http://www.google.com/kml/ext/2.2" xmlns:kml="http://www.opengis.net/kml/2.2" xmlns:atom="http://www.w3.org/2005/Atom"&gt;
&lt;Document id="document"&gt;
	&lt;name&gt;Mapa sem título&lt;/name&gt;
	&lt;gx:CascadingStyle kml:id="__managed_style_0B9DA28F803F14027464_highlight"&gt;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kml:id="__managed_style_0B9DA28F803F14027464_normal"&gt;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id="__managed_style_0B9DA28F803F14027464"&gt;
		&lt;Pair&gt;
			&lt;key&gt;normal&lt;/key&gt;
			&lt;styleUrl&gt;#__managed_style_0B9DA28F803F14027464_normal&lt;/styleUrl&gt;
		&lt;/Pair&gt;
		&lt;Pair&gt;
			&lt;key&gt;highlight&lt;/key&gt;
			&lt;styleUrl&gt;#__managed_style_0B9DA28F803F14027464_highlight&lt;/styleUrl&gt;
		&lt;/Pair&gt;
	&lt;/StyleMap&gt;
	&lt;Placemark id="08C938CD7C3F1402743E"&gt;
		&lt;name&gt;5°17&amp;apos;14.9&amp;quot;S 42°45&amp;apos;28.4&amp;quot;W&lt;/name&gt;
		&lt;LookAt&gt;
			&lt;longitude&gt;-42.7578778&lt;/longitude&gt;
			&lt;latitude&gt;-5.2874583&lt;/latitude&gt;
			&lt;altitude&gt;0&lt;/altitude&gt;
			&lt;heading&gt;0&lt;/heading&gt;
			&lt;tilt&gt;0&lt;/tilt&gt;
			&lt;gx:fovy&gt;35&lt;/gx:fovy&gt;
			&lt;range&gt;1051.509964338283&lt;/range&gt;
			&lt;altitudeMode&gt;relativeToGround&lt;/altitudeMode&gt;
		&lt;/LookAt&gt;
		&lt;styleUrl&gt;#__managed_style_0B9DA28F803F14027464&lt;/styleUrl&gt;
		&lt;Point&gt;
			&lt;extrude&gt;1&lt;/extrude&gt;
			&lt;coordinates&gt;-42.7578778,-5.2874583,0&lt;/coordinates&gt;
		&lt;/Point&gt;
	&lt;/Placemark&gt;
&lt;/Document&gt;
&lt;/kml&gt;</t>
  </si>
  <si>
    <t>PAVIMENTAÇÃO EM PARALELEPIPEDO COM EXTENSÃO DE 9.478,00 M² NO ASSENTAMENTO 28 DE AGOSTO NA ZONA RURAL DO MUNICIPIO DE TERESINA-PI, CONTRATO 10/2024 - FRANCA.</t>
  </si>
  <si>
    <t>ASSENTAMENTO 28 DE AGOSTO</t>
  </si>
  <si>
    <t>&lt;?xml version="1.0" encoding="UTF-8"?&gt;
&lt;kml xmlns="http://www.opengis.net/kml/2.2" xmlns:gx="http://www.google.com/kml/ext/2.2" xmlns:kml="http://www.opengis.net/kml/2.2" xmlns:atom="http://www.w3.org/2005/Atom"&gt;
&lt;Document&gt;
	&lt;name&gt;PAV ASS 28 DE AGOSTO, ZONA RURAL, TERESINA-PI.kmz&lt;/name&gt;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&lt;LineStyle&gt;
			&lt;color&gt;ff00ffff&lt;/color&gt;
			&lt;width&gt;6&lt;/width&gt;
		&lt;/LineStyle&gt;
	&lt;/Style&gt;
	&lt;Style id="s_ylw-pushpin_hl"&gt;
		&lt;IconStyle&gt;
			&lt;scale&gt;1.3&lt;/scale&gt;
			&lt;Icon&gt;
				&lt;href&gt;http://maps.google.com/mapfiles/kml/pushpin/ylw-pushpin.png&lt;/href&gt;
			&lt;/Icon&gt;
			&lt;hotSpot x="20" y="2" xunits="pixels" yunits="pixels"/&gt;
		&lt;/IconStyle&gt;
		&lt;LineStyle&gt;
			&lt;color&gt;ff00ffff&lt;/color&gt;
			&lt;width&gt;6&lt;/width&gt;
		&lt;/LineStyle&gt;
	&lt;/Style&gt;
	&lt;Folder&gt;
		&lt;name&gt;PAV ASS 28 DE AGOSTO, ZONA RURAL, TERESINA-PI&lt;/name&gt;
		&lt;open&gt;1&lt;/open&gt;
		&lt;Placemark&gt;
			&lt;name&gt;RUA BOM JESUS&lt;/name&gt;
			&lt;styleUrl&gt;#m_ylw-pushpin&lt;/styleUrl&gt;
			&lt;LineString&gt;
				&lt;tessellate&gt;1&lt;/tessellate&gt;
				&lt;coordinates&gt;
					-42.72768179667541,-4.989707636787197,0 -42.72711199505337,-4.988236733872519,0 -42.72664451721343,-4.98719474694513,0 -42.7262203925116,-4.986370261440337,0 -42.72610699705069,-4.986111334433588,0 -42.72597657002349,-4.9858499241951,0 -42.72593847411282,-4.985675716306964,0 -42.72584101768648,-4.98539112025603,0 -42.72505825760842,-4.983725309336503,0 
				&lt;/coordinates&gt;
			&lt;/LineString&gt;
		&lt;/Placemark&gt;
		&lt;Placemark&gt;
			&lt;name&gt;RUA PROJETADA&lt;/name&gt;
			&lt;styleUrl&gt;#m_ylw-pushpin&lt;/styleUrl&gt;
			&lt;LineString&gt;
				&lt;tessellate&gt;1&lt;/tessellate&gt;
				&lt;coordinates&gt;
					-42.72507666256419,-4.983709663464744,0 -42.72678762344761,-4.982992153412469,0 
				&lt;/coordinates&gt;
			&lt;/LineString&gt;
		&lt;/Placemark&gt;
		&lt;Placemark&gt;
			&lt;name&gt;RUA DO POÇO&lt;/name&gt;
			&lt;styleUrl&gt;#m_ylw-pushpin&lt;/styleUrl&gt;
			&lt;LineString&gt;
				&lt;tessellate&gt;1&lt;/tessellate&gt;
				&lt;coordinates&gt;
					-42.72611572643106,-4.986121381814018,0 -42.72791621133879,-4.985565184606886,0 
				&lt;/coordinates&gt;
			&lt;/LineString&gt;
		&lt;/Placemark&gt;
		&lt;Placemark&gt;
			&lt;name&gt;RUA ASSENTAMENTO 28 DE AGOSTO&lt;/name&gt;
			&lt;styleUrl&gt;#m_ylw-pushpin&lt;/styleUrl&gt;
			&lt;LineString&gt;
				&lt;tessellate&gt;1&lt;/tessellate&gt;
				&lt;coordinates&gt;
					-42.72712512827228,-4.988224510913162,0 -42.72797243372256,-4.988002256023073,0 -42.72890236444795,-4.987692846501337,0 
				&lt;/coordinates&gt;
			&lt;/LineString&gt;
		&lt;/Placemark&gt;
		&lt;atom:link rel="app" href="https://www.google.com/earth/about/versions/#earth-pro" title="Google Earth Pro 7.3.6.10441"&gt;&lt;/atom:link&gt;
	&lt;/Folder&gt;
&lt;/Document&gt;
&lt;/kml&gt;</t>
  </si>
  <si>
    <t>PAVIMENTAÇÃO EM PARALELEPÍPEDO, NUMA ÁREA TOTAL DE 3.552,00 M², NA ZONA RURAL DE TERESINA - PI</t>
  </si>
  <si>
    <t>POVOADO CAMINHO NOVO</t>
  </si>
  <si>
    <t>&lt;?xml version="1.0" encoding="UTF-8"?&gt;
&lt;kml xmlns="http://www.opengis.net/kml/2.2" xmlns:gx="http://www.google.com/kml/ext/2.2" xmlns:kml="http://www.opengis.net/kml/2.2" xmlns:atom="http://www.w3.org/2005/Atom"&gt;
&lt;Document&gt;
	&lt;name&gt;PAVIMENTAÇÃO EM PARALELEPÍPEDO, NUMA ÁREA TOTAL DE 3.552,00 M², NA ZONA RURAL DE TERESINA - PI.kmz&lt;/name&gt;
	&lt;open&gt;1&lt;/open&gt;
	&lt;atom:link rel="app" href="https://www.google.com/earth/about/versions/#earth-pro" title="Google Earth Pro 7.3.7.1155"&gt;&lt;/atom:link&gt;
	&lt;StyleMap id="msn_ylw-pushpin"&gt;
		&lt;Pair&gt;
			&lt;key&gt;normal&lt;/key&gt;
			&lt;styleUrl&gt;#sn_ylw-pushpin&lt;/styleUrl&gt;
		&lt;/Pair&gt;
		&lt;Pair&gt;
			&lt;key&gt;highlight&lt;/key&gt;
			&lt;styleUrl&gt;#sh_ylw-pushpin&lt;/styleUrl&gt;
		&lt;/Pair&gt;
	&lt;/StyleMap&gt;
	&lt;Style id="sh_ylw-pushpin"&gt;
		&lt;IconStyle&gt;
			&lt;scale&gt;1.3&lt;/scale&gt;
			&lt;Icon&gt;
				&lt;href&gt;http://maps.google.com/mapfiles/kml/pushpin/ylw-pushpin.png&lt;/href&gt;
			&lt;/Icon&gt;
			&lt;hotSpot x="20" y="2" xunits="pixels" yunits="pixels"/&gt;
		&lt;/IconStyle&gt;
		&lt;LineStyle&gt;
			&lt;color&gt;ffffff00&lt;/color&gt;
			&lt;width&gt;5&lt;/width&gt;
		&lt;/LineStyle&gt;
	&lt;/Style&gt;
	&lt;Style id="sn_ylw-pushpin"&gt;
		&lt;IconStyle&gt;
			&lt;scale&gt;1.1&lt;/scale&gt;
			&lt;Icon&gt;
				&lt;href&gt;http://maps.google.com/mapfiles/kml/pushpin/ylw-pushpin.png&lt;/href&gt;
			&lt;/Icon&gt;
			&lt;hotSpot x="20" y="2" xunits="pixels" yunits="pixels"/&gt;
		&lt;/IconStyle&gt;
		&lt;LineStyle&gt;
			&lt;color&gt;ffffff00&lt;/color&gt;
			&lt;width&gt;5&lt;/width&gt;
		&lt;/LineStyle&gt;
	&lt;/Style&gt;
	&lt;Placemark&gt;
		&lt;name&gt;PAVIMENTAÇÃO EM PARALELEPÍPEDO, NUMA ÁREA TOTAL DE 3.552,00 M², NA ZONA RURAL DE TERESINA - PI [1:LineString]&lt;/name&gt;
		&lt;snippet&gt;&lt;/snippet&gt;
		&lt;styleUrl&gt;#msn_ylw-pushpin&lt;/styleUrl&gt;
		&lt;LineString&gt;
			&lt;tessellate&gt;1&lt;/tessellate&gt;
			&lt;coordinates&gt;
				-42.61585801943822,-5.049340409335879,0 -42.61553693382003,-5.050731544354633,0 
			&lt;/coordinates&gt;
		&lt;/LineString&gt;
	&lt;/Placemark&gt;
	&lt;Placemark&gt;
		&lt;name&gt;PAVIMENTAÇÃO EM PARALELEPÍPEDO, NUMA ÁREA TOTAL DE 3.552,00 M², NA ZONA RURAL DE TERESINA - PI [2:LineString]&lt;/name&gt;
		&lt;snippet&gt;&lt;/snippet&gt;
		&lt;styleUrl&gt;#msn_ylw-pushpin&lt;/styleUrl&gt;
		&lt;LineString&gt;
			&lt;tessellate&gt;1&lt;/tessellate&gt;
			&lt;coordinates&gt;
				-42.61097716824309,-5.038390339293684,0 -42.60951257952091,-5.038010734233702,0 
			&lt;/coordinates&gt;
		&lt;/LineString&gt;
	&lt;/Placemark&gt;
	&lt;Placemark&gt;
		&lt;name&gt;PAVIMENTAÇÃO EM PARALELEPÍPEDO, NUMA ÁREA TOTAL DE 3.552,00 M², NA ZONA RURAL DE TERESINA - PI [3:LineString]&lt;/name&gt;
		&lt;snippet&gt;&lt;/snippet&gt;
		&lt;styleUrl&gt;#msn_ylw-pushpin&lt;/styleUrl&gt;
		&lt;LineString&gt;
			&lt;tessellate&gt;1&lt;/tessellate&gt;
			&lt;coordinates&gt;
				-42.61599882816115,-5.035295328523406,0 -42.61587142154228,-5.033026241583734,0 
			&lt;/coordinates&gt;
		&lt;/LineString&gt;
	&lt;/Placemark&gt;
&lt;/Document&gt;
&lt;/kml&gt;</t>
  </si>
  <si>
    <t>REFORMA DO PRÉDIO SEDE, PRÉDIO ANEXO E SUAS GUARITAS DO INSTITUTO DE DESENVOLVIMENTO DO PIAUÍ - IDEPI, NA CIDADE DE TERESINA</t>
  </si>
  <si>
    <t>AGUA MINERAL</t>
  </si>
  <si>
    <t>PAVIMENTAÇÃO EM PARALELEPÍPEDO DE 3.590,00 M² DE VIAS NO MUNICÍPIO DE TERESINA - PI</t>
  </si>
  <si>
    <t>SDE</t>
  </si>
  <si>
    <t>EXECUÇÃO DE PAVIMENTAÇÃO DE 5.001,00M² EM VIAS PÚBLICAS NO MUNICÍPIO DE TERESINA</t>
  </si>
  <si>
    <t>VALE DO GAVIÃO</t>
  </si>
  <si>
    <t>PAVIMENTAÇÃO EM PARALELEPÍPEDO NO MUNICÍPIO DE TERESINA - PI. CONTRATO 019/2023</t>
  </si>
  <si>
    <t>COMUNIDADE SANTA INES</t>
  </si>
  <si>
    <t>PAVIMENTAÇÃO DE CONCRETO BETUMINOSO USINADO À QUENTE (C.B.U.Q), NO MUNICÍPIO DE TERESINA – PI (43.286,10 M²).</t>
  </si>
  <si>
    <t>VALE QUEM TEM</t>
  </si>
  <si>
    <t>&lt;?xml version="1.0" encoding="UTF-8"?&gt;
&lt;kml xmlns="http://www.opengis.net/kml/2.2" xmlns:gx="http://www.google.com/kml/ext/2.2" xmlns:kml="http://www.opengis.net/kml/2.2" xmlns:atom="http://www.w3.org/2005/Atom"&gt;
&lt;Document id="16g-9XKMj-HPBFYKGaUPchQ_athvlkX2C"&gt;
	&lt;name&gt;PAVIMENTAÇÃO DE CONCRETO BETUMINOSO USINADO À QUENTE (C.B.U.Q), NO MUNICÍPIO DE TERESINA – PI (43.286,10 M²).&lt;/name&gt;
	&lt;gx:CascadingStyle kml:id="__managed_style_2A65FE40223F14A44798"&gt;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&lt;/BalloonStyle&gt;
		&lt;/Style&gt;
	&lt;/gx:CascadingStyle&gt;
	&lt;gx:CascadingStyle kml:id="__managed_style_127B6F5C233F14A44798"&gt;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&lt;/BalloonStyle&gt;
		&lt;/Style&gt;
	&lt;/gx:CascadingStyle&gt;
	&lt;StyleMap id="__managed_style_0FC04536BB3F14A44798"&gt;
		&lt;Pair&gt;
			&lt;key&gt;normal&lt;/key&gt;
			&lt;styleUrl&gt;#__managed_style_127B6F5C233F14A44798&lt;/styleUrl&gt;
		&lt;/Pair&gt;
		&lt;Pair&gt;
			&lt;key&gt;highlight&lt;/key&gt;
			&lt;styleUrl&gt;#__managed_style_2A65FE40223F14A44798&lt;/styleUrl&gt;
		&lt;/Pair&gt;
	&lt;/StyleMap&gt;
	&lt;gx:CascadingStyle kml:id="__managed_style_2F686AC8523F143C2F78"&gt;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&lt;/BalloonStyle&gt;
		&lt;/Style&gt;
	&lt;/gx:CascadingStyle&gt;
	&lt;gx:CascadingStyle kml:id="__managed_style_1E391ABE5E3F143C2F78"&gt;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&lt;/BalloonStyle&gt;
		&lt;/Style&gt;
	&lt;/gx:CascadingStyle&gt;
	&lt;StyleMap id="__managed_style_02D3BCB26D3F143C2F78"&gt;
		&lt;Pair&gt;
			&lt;key&gt;normal&lt;/key&gt;
			&lt;styleUrl&gt;#__managed_style_1E391ABE5E3F143C2F78&lt;/styleUrl&gt;
		&lt;/Pair&gt;
		&lt;Pair&gt;
			&lt;key&gt;highlight&lt;/key&gt;
			&lt;styleUrl&gt;#__managed_style_2F686AC8523F143C2F78&lt;/styleUrl&gt;
		&lt;/Pair&gt;
	&lt;/StyleMap&gt;
	&lt;GroundOverlay id="0339183A1C3F14168A8C"&gt;
		&lt;name&gt;Área político-administrativa (nível 2)&lt;/name&gt;
		&lt;LookAt&gt;
			&lt;longitude&gt;-105&lt;/longitude&gt;
			&lt;latitude&gt;44&lt;/latitude&gt;
			&lt;altitude&gt;0&lt;/altitude&gt;
			&lt;heading&gt;0&lt;/heading&gt;
			&lt;tilt&gt;0&lt;/tilt&gt;
			&lt;gx:fovy&gt;30&lt;/gx:fovy&gt;
			&lt;range&gt;10000000&lt;/range&gt;
			&lt;altitudeMode&gt;absolute&lt;/altitudeMode&gt;
		&lt;/LookAt&gt;
		&lt;styleUrl&gt;#__managed_style_02D3BCB26D3F143C2F78&lt;/styleUrl&gt;
		&lt;drawOrder&gt;5&lt;/drawOrder&gt;
		&lt;Icon&gt;
			&lt;href&gt;data:image/gif;base64,R0lGODlhAQABAIAAAP///wAAACH5BAEAAAAALAAAAAABAAEAAAICRAEAOw==&lt;/href&gt;
		&lt;/Icon&gt;
		&lt;LatLonBox&gt;
			&lt;north&gt;85&lt;/north&gt;
			&lt;south&gt;-85&lt;/south&gt;
			&lt;east&gt;180&lt;/east&gt;
			&lt;west&gt;-180&lt;/west&gt;
		&lt;/LatLonBox&gt;
		&lt;gx:MapTilePyramid&gt;
			&lt;Link&gt;
				&lt;href&gt;earthdatalayer:0:CAESJDkyNTU4MzMwLTM4ZmQtNDQxNC1hNTI4LTk2M2Y1NzYwMmQ1Ng&lt;/href&gt;
			&lt;/Link&gt;
			&lt;gx:minLevel&gt;0&lt;/gx:minLevel&gt;
			&lt;gx:maxLevel&gt;22&lt;/gx:maxLevel&gt;
		&lt;/gx:MapTilePyramid&gt;
	&lt;/GroundOverlay&gt;
	&lt;Placemark id="029684FB663F14A4477B"&gt;
		&lt;name&gt;RUA 14&lt;/name&gt;
		&lt;LookAt&gt;
			&lt;longitude&gt;-42.7944486817292&lt;/longitude&gt;
			&lt;latitude&gt;-5.158868006308341&lt;/latitude&gt;
			&lt;altitude&gt;0&lt;/altitude&gt;
			&lt;heading&gt;0&lt;/heading&gt;
			&lt;tilt&gt;0&lt;/tilt&gt;
			&lt;gx:fovy&gt;35&lt;/gx:fovy&gt;
			&lt;range&gt;811.9369764683089&lt;/range&gt;
			&lt;altitudeMode&gt;absolute&lt;/altitudeMode&gt;
		&lt;/LookAt&gt;
		&lt;styleUrl&gt;#__managed_style_0FC04536BB3F14A44798&lt;/styleUrl&gt;
		&lt;Point&gt;
			&lt;coordinates&gt;-42.79592000572506,-5.158537404034501,1.992532269179392e-05&lt;/coordinates&gt;
		&lt;/Point&gt;
	&lt;/Placemark&gt;
	&lt;Placemark id="08CF8C4C873F14A53BEE"&gt;
		&lt;name&gt;Marcador de local sem título&lt;/name&gt;
		&lt;LookAt&gt;
			&lt;longitude&gt;-42.78986970062488&lt;/longitude&gt;
			&lt;latitude&gt;-5.159239791086225&lt;/latitude&gt;
			&lt;altitude&gt;0&lt;/altitude&gt;
			&lt;heading&gt;0&lt;/heading&gt;
			&lt;tilt&gt;0&lt;/tilt&gt;
			&lt;gx:fovy&gt;35&lt;/gx:fovy&gt;
			&lt;range&gt;1590.47532343408&lt;/range&gt;
			&lt;altitudeMode&gt;absolute&lt;/altitudeMode&gt;
		&lt;/LookAt&gt;
		&lt;styleUrl&gt;#__managed_style_0FC04536BB3F14A44798&lt;/styleUrl&gt;
		&lt;Point&gt;
			&lt;coordinates&gt;-42.79142792146837,-5.158428828759536,0.0001429219276927185&lt;/coordinates&gt;
		&lt;/Point&gt;
	&lt;/Placemark&gt;
	&lt;Placemark id="038E1DCED23F14A5BE1C"&gt;
		&lt;name&gt;Caminho sem título&lt;/name&gt;
		&lt;LookAt&gt;
			&lt;longitude&gt;-42.7914543999927&lt;/longitude&gt;
			&lt;latitude&gt;-5.159222937321091&lt;/latitude&gt;
			&lt;altitude&gt;0&lt;/altitude&gt;
			&lt;heading&gt;0&lt;/heading&gt;
			&lt;tilt&gt;0&lt;/tilt&gt;
			&lt;gx:fovy&gt;35&lt;/gx:fovy&gt;
			&lt;range&gt;840.0119654457332&lt;/range&gt;
			&lt;altitudeMode&gt;absolute&lt;/altitudeMode&gt;
		&lt;/LookAt&gt;
		&lt;styleUrl&gt;#__managed_style_02D3BCB26D3F143C2F78&lt;/styleUrl&gt;
		&lt;LineString&gt;
			&lt;coordinates&gt;
				-42.79591671187692,-5.158530684864157,0 -42.79401850767682,-5.15839220793348,0 -42.79146058778969,-5.158381724993246,0 
			&lt;/coordinates&gt;
		&lt;/LineString&gt;
	&lt;/Placemark&gt;
	&lt;Placemark id="0DB671D5763F14A72DBC"&gt;
		&lt;name&gt;5°06&amp;apos;20.6&amp;quot;S 42°48&amp;apos;19.5&amp;quot;W&lt;/name&gt;
		&lt;LookAt&gt;
			&lt;longitude&gt;-42.80542699999999&lt;/longitude&gt;
			&lt;latitude&gt;-5.105728&lt;/latitude&gt;
			&lt;altitude&gt;0&lt;/altitude&gt;
			&lt;heading&gt;0&lt;/heading&gt;
			&lt;tilt&gt;0&lt;/tilt&gt;
			&lt;gx:fovy&gt;35&lt;/gx:fovy&gt;
			&lt;range&gt;1051.849575721558&lt;/range&gt;
			&lt;altitudeMode&gt;relativeToGround&lt;/altitudeMode&gt;
		&lt;/LookAt&gt;
		&lt;styleUrl&gt;#__managed_style_02D3BCB26D3F143C2F78&lt;/styleUrl&gt;
		&lt;Point&gt;
			&lt;extrude&gt;1&lt;/extrude&gt;
			&lt;coordinates&gt;-42.80542699999999,-5.105728,0&lt;/coordinates&gt;
		&lt;/Point&gt;
	&lt;/Placemark&gt;
	&lt;Placemark id="01CCF5BC913F14A7970B"&gt;
		&lt;name&gt;Caminho sem título&lt;/name&gt;
		&lt;LookAt&gt;
			&lt;longitude&gt;-42.80498937800731&lt;/longitude&gt;
			&lt;latitude&gt;-5.10614553915302&lt;/latitude&gt;
			&lt;altitude&gt;6.314147066894639&lt;/altitude&gt;
			&lt;heading&gt;0&lt;/heading&gt;
			&lt;tilt&gt;0&lt;/tilt&gt;
			&lt;gx:fovy&gt;35&lt;/gx:fovy&gt;
			&lt;range&gt;542.1002443328096&lt;/range&gt;
			&lt;altitudeMode&gt;absolute&lt;/altitudeMode&gt;
		&lt;/LookAt&gt;
		&lt;styleUrl&gt;#__managed_style_02D3BCB26D3F143C2F78&lt;/styleUrl&gt;
		&lt;LineString&gt;
			&lt;coordinates&gt;
				-42.80433566574695,-5.108279414440348,0 -42.80544502929779,-5.105682003910627,0 
			&lt;/coordinates&gt;
		&lt;/LineString&gt;
	&lt;/Placemark&gt;
	&lt;Placemark id="077B68388B3F14A7E1E3"&gt;
		&lt;name&gt;R SETE DE SETEMBRO&lt;/name&gt;
		&lt;LookAt&gt;
			&lt;longitude&gt;-42.80426440116681&lt;/longitude&gt;
			&lt;latitude&gt;-5.1077483074905&lt;/latitude&gt;
			&lt;altitude&gt;5.887019122707375&lt;/altitude&gt;
			&lt;heading&gt;0&lt;/heading&gt;
			&lt;tilt&gt;0&lt;/tilt&gt;
			&lt;gx:fovy&gt;35&lt;/gx:fovy&gt;
			&lt;range&gt;305.2140164353921&lt;/range&gt;
			&lt;altitudeMode&gt;absolute&lt;/altitudeMode&gt;
		&lt;/LookAt&gt;
		&lt;styleUrl&gt;#__managed_style_02D3BCB26D3F143C2F78&lt;/styleUrl&gt;
		&lt;Point&gt;
			&lt;coordinates&gt;-42.80433543725569,-5.108288091621484,2.66760248490705e-05&lt;/coordinates&gt;
		&lt;/Point&gt;
	&lt;/Placemark&gt;
	&lt;Placemark id="015E047B673F14A9DE18"&gt;
		&lt;name&gt;5°06&amp;apos;25.0&amp;quot;S 42°48&amp;apos;10.8&amp;quot;W&lt;/name&gt;
		&lt;LookAt&gt;
			&lt;longitude&gt;-42.80300700000001&lt;/longitude&gt;
			&lt;latitude&gt;-5.106946&lt;/latitude&gt;
			&lt;altitude&gt;0&lt;/altitude&gt;
			&lt;heading&gt;0&lt;/heading&gt;
			&lt;tilt&gt;0&lt;/tilt&gt;
			&lt;gx:fovy&gt;35&lt;/gx:fovy&gt;
			&lt;range&gt;1051.847338922782&lt;/range&gt;
			&lt;altitudeMode&gt;relativeToGround&lt;/altitudeMode&gt;
		&lt;/LookAt&gt;
		&lt;styleUrl&gt;#__managed_style_02D3BCB26D3F143C2F78&lt;/styleUrl&gt;
		&lt;Point&gt;
			&lt;extrude&gt;1&lt;/extrude&gt;
			&lt;coordinates&gt;-42.803007,-5.106946,0&lt;/coordinates&gt;
		&lt;/Point&gt;
	&lt;/Placemark&gt;
	&lt;Placemark id="0CE5C84F573F14AA6C19"&gt;
		&lt;name&gt;5°06&amp;apos;22.4&amp;quot;S 42°48&amp;apos;05.1&amp;quot;W&lt;/name&gt;
		&lt;LookAt&gt;
			&lt;longitude&gt;-42.801417&lt;/longitude&gt;
			&lt;latitude&gt;-5.106233&lt;/latitude&gt;
			&lt;altitude&gt;0&lt;/altitude&gt;
			&lt;heading&gt;0&lt;/heading&gt;
			&lt;tilt&gt;0&lt;/tilt&gt;
			&lt;gx:fovy&gt;35&lt;/gx:fovy&gt;
			&lt;range&gt;1051.848648377664&lt;/range&gt;
			&lt;altitudeMode&gt;relativeToGround&lt;/altitudeMode&gt;
		&lt;/LookAt&gt;
		&lt;styleUrl&gt;#__managed_style_02D3BCB26D3F143C2F78&lt;/styleUrl&gt;
		&lt;Point&gt;
			&lt;extrude&gt;1&lt;/extrude&gt;
			&lt;coordinates&gt;-42.801417,-5.106233,0&lt;/coordinates&gt;
		&lt;/Point&gt;
	&lt;/Placemark&gt;
	&lt;Placemark id="0CAD3A233B3F14AAC3A9"&gt;
		&lt;name&gt;Caminho sem título&lt;/name&gt;
		&lt;LookAt&gt;
			&lt;longitude&gt;-42.80207824516688&lt;/longitude&gt;
			&lt;latitude&gt;-5.106350859205628&lt;/latitude&gt;
			&lt;altitude&gt;-2.121972597635136e-09&lt;/altitude&gt;
			&lt;heading&gt;0&lt;/heading&gt;
			&lt;tilt&gt;0&lt;/tilt&gt;
			&lt;gx:fovy&gt;35&lt;/gx:fovy&gt;
			&lt;range&gt;511.0004391864601&lt;/range&gt;
			&lt;altitudeMode&gt;absolute&lt;/altitudeMode&gt;
		&lt;/LookAt&gt;
		&lt;styleUrl&gt;#__managed_style_02D3BCB26D3F143C2F78&lt;/styleUrl&gt;
		&lt;LineString&gt;
			&lt;coordinates&gt;
				-42.80302673187127,-5.106947450054865,0 -42.80146096917557,-5.106191528863554,0 
			&lt;/coordinates&gt;
		&lt;/LineString&gt;
	&lt;/Placemark&gt;
	&lt;Placemark id="05B0528E233F14ABE769"&gt;
		&lt;name&gt;Marcador de local sem título&lt;/name&gt;
		&lt;LookAt&gt;
			&lt;longitude&gt;-42.79356740962852&lt;/longitude&gt;
			&lt;latitude&gt;-5.1587938602666&lt;/latitude&gt;
			&lt;altitude&gt;0&lt;/altitude&gt;
			&lt;heading&gt;0&lt;/heading&gt;
			&lt;tilt&gt;0&lt;/tilt&gt;
			&lt;gx:fovy&gt;35&lt;/gx:fovy&gt;
			&lt;range&gt;934.5925734367186&lt;/range&gt;
			&lt;altitudeMode&gt;absolute&lt;/altitudeMode&gt;
		&lt;/LookAt&gt;
		&lt;styleUrl&gt;#__managed_style_02D3BCB26D3F143C2F78&lt;/styleUrl&gt;
		&lt;Point&gt;
			&lt;coordinates&gt;-42.7952541152619,-5.158091053112559,8.142150321965858e-05&lt;/coordinates&gt;
		&lt;/Point&gt;
	&lt;/Placemark&gt;
	&lt;Placemark id="00157F516D3F14ABF721"&gt;
		&lt;name&gt;Marcador de local sem título&lt;/name&gt;
		&lt;LookAt&gt;
			&lt;longitude&gt;-42.79356740962852&lt;/longitude&gt;
			&lt;latitude&gt;-5.1587938602666&lt;/latitude&gt;
			&lt;altitude&gt;0&lt;/altitude&gt;
			&lt;heading&gt;0&lt;/heading&gt;
			&lt;tilt&gt;0&lt;/tilt&gt;
			&lt;gx:fovy&gt;35&lt;/gx:fovy&gt;
			&lt;range&gt;934.5925734367186&lt;/range&gt;
			&lt;altitudeMode&gt;absolute&lt;/altitudeMode&gt;
		&lt;/LookAt&gt;
		&lt;styleUrl&gt;#__managed_style_02D3BCB26D3F143C2F78&lt;/styleUrl&gt;
		&lt;Point&gt;
			&lt;coordinates&gt;-42.79298911212889,-5.158008777518036,0.0002152486563589129&lt;/coordinates&gt;
		&lt;/Point&gt;
	&lt;/Placemark&gt;
	&lt;Placemark id="0198B73CAF3F14AC1A90"&gt;
		&lt;name&gt;Caminho sem título&lt;/name&gt;
		&lt;LookAt&gt;
			&lt;longitude&gt;-42.79356740962852&lt;/longitude&gt;
			&lt;latitude&gt;-5.1587938602666&lt;/latitude&gt;
			&lt;altitude&gt;0&lt;/altitude&gt;
			&lt;heading&gt;0&lt;/heading&gt;
			&lt;tilt&gt;0&lt;/tilt&gt;
			&lt;gx:fovy&gt;35&lt;/gx:fovy&gt;
			&lt;range&gt;934.5925734367186&lt;/range&gt;
			&lt;altitudeMode&gt;absolute&lt;/altitudeMode&gt;
		&lt;/LookAt&gt;
		&lt;styleUrl&gt;#__managed_style_02D3BCB26D3F143C2F78&lt;/styleUrl&gt;
		&lt;LineString&gt;
			&lt;coordinates&gt;
				-42.79526100016415,-5.158070483093431,0 -42.79302353449381,-5.157981350892499,0 
			&lt;/coordinates&gt;
		&lt;/LineString&gt;
	&lt;/Placemark&gt;
	&lt;Placemark id="0A30DE89D43F14ACA7C4"&gt;
		&lt;name&gt;Marcador de local sem título&lt;/name&gt;
		&lt;LookAt&gt;
			&lt;longitude&gt;-42.7928581820729&lt;/longitude&gt;
			&lt;latitude&gt;-5.158944350344856&lt;/latitude&gt;
			&lt;altitude&gt;6.425065818361806&lt;/altitude&gt;
			&lt;heading&gt;0&lt;/heading&gt;
			&lt;tilt&gt;0&lt;/tilt&gt;
			&lt;gx:fovy&gt;35&lt;/gx:fovy&gt;
			&lt;range&gt;487.5471406665172&lt;/range&gt;
			&lt;altitudeMode&gt;absolute&lt;/altitudeMode&gt;
		&lt;/LookAt&gt;
		&lt;styleUrl&gt;#__managed_style_02D3BCB26D3F143C2F78&lt;/styleUrl&gt;
		&lt;Point&gt;
			&lt;coordinates&gt;-42.79347313143138,-5.15842792772991,8.126164795063673e-05&lt;/coordinates&gt;
		&lt;/Point&gt;
	&lt;/Placemark&gt;
	&lt;Placemark id="0D7B0134113F14ACB566"&gt;
		&lt;name&gt;Marcador de local sem título&lt;/name&gt;
		&lt;LookAt&gt;
			&lt;longitude&gt;-42.7928581820729&lt;/longitude&gt;
			&lt;latitude&gt;-5.158944350344856&lt;/latitude&gt;
			&lt;altitude&gt;6.425065818361806&lt;/altitude&gt;
			&lt;heading&gt;0&lt;/heading&gt;
			&lt;tilt&gt;0&lt;/tilt&gt;
			&lt;gx:fovy&gt;35&lt;/gx:fovy&gt;
			&lt;range&gt;487.5471406665172&lt;/range&gt;
			&lt;altitudeMode&gt;absolute&lt;/altitudeMode&gt;
		&lt;/LookAt&gt;
		&lt;styleUrl&gt;#__managed_style_02D3BCB26D3F143C2F78&lt;/styleUrl&gt;
		&lt;Point&gt;
			&lt;coordinates&gt;-42.79323661266681,-5.159286819509394,8.887387098255317e-05&lt;/coordinates&gt;
		&lt;/Point&gt;
	&lt;/Placemark&gt;
	&lt;Placemark id="0AC181D4863F14ACFF33"&gt;
		&lt;name&gt;Caminho sem título&lt;/name&gt;
		&lt;LookAt&gt;
			&lt;longitude&gt;-42.7928581820729&lt;/longitude&gt;
			&lt;latitude&gt;-5.158944350344856&lt;/latitude&gt;
			&lt;altitude&gt;6.425065818361806&lt;/altitude&gt;
			&lt;heading&gt;0&lt;/heading&gt;
			&lt;tilt&gt;0&lt;/tilt&gt;
			&lt;gx:fovy&gt;35&lt;/gx:fovy&gt;
			&lt;range&gt;487.5471406665172&lt;/range&gt;
			&lt;altitudeMode&gt;absolute&lt;/altitudeMode&gt;
		&lt;/LookAt&gt;
		&lt;styleUrl&gt;#__managed_style_02D3BCB26D3F143C2F78&lt;/styleUrl&gt;
		&lt;LineString&gt;
			&lt;coordinates&gt;
				-42.7934658540141,-5.158431551681672,0 -42.79325844524014,-5.159246955507202,0 
			&lt;/coordinates&gt;
		&lt;/LineString&gt;
	&lt;/Placemark&gt;
	&lt;Placemark id="0E6B7940293F14ADBB4C"&gt;
		&lt;name&gt;Marcador de local sem título&lt;/name&gt;
		&lt;LookAt&gt;
			&lt;longitude&gt;-42.79360457768053&lt;/longitude&gt;
			&lt;latitude&gt;-5.158000148269265&lt;/latitude&gt;
			&lt;altitude&gt;9.48422725755016e-05&lt;/altitude&gt;
			&lt;heading&gt;0&lt;/heading&gt;
			&lt;tilt&gt;0&lt;/tilt&gt;
			&lt;gx:fovy&gt;35&lt;/gx:fovy&gt;
			&lt;range&gt;310.97601243975&lt;/range&gt;
			&lt;altitudeMode&gt;absolute&lt;/altitudeMode&gt;
		&lt;/LookAt&gt;
		&lt;styleUrl&gt;#__managed_style_02D3BCB26D3F143C2F78&lt;/styleUrl&gt;
		&lt;Point&gt;
			&lt;coordinates&gt;-42.79372140555183,-5.157590624774907,4.330804606933469e-05&lt;/coordinates&gt;
		&lt;/Point&gt;
	&lt;/Placemark&gt;
	&lt;Placemark id="0C78F8F8AB3F14ADE158"&gt;
		&lt;name&gt;Caminho sem título&lt;/name&gt;
		&lt;LookAt&gt;
			&lt;longitude&gt;-42.79360457768053&lt;/longitude&gt;
			&lt;latitude&gt;-5.158000148269265&lt;/latitude&gt;
			&lt;altitude&gt;9.48422725755016e-05&lt;/altitude&gt;
			&lt;heading&gt;0&lt;/heading&gt;
			&lt;tilt&gt;0&lt;/tilt&gt;
			&lt;gx:fovy&gt;35&lt;/gx:fovy&gt;
			&lt;range&gt;310.97601243975&lt;/range&gt;
			&lt;altitudeMode&gt;absolute&lt;/altitudeMode&gt;
		&lt;/LookAt&gt;
		&lt;styleUrl&gt;#__managed_style_02D3BCB26D3F143C2F78&lt;/styleUrl&gt;
		&lt;LineString&gt;
			&lt;coordinates&gt;
				-42.79372140556912,-5.157583780306223,0 -42.79346484202008,-5.158439330922803,0 
			&lt;/coordinates&gt;
		&lt;/LineString&gt;
	&lt;/Placemark&gt;
	&lt;Placemark id="0E7898BF2D3F14AECE5C"&gt;
		&lt;name&gt;Caminho sem título&lt;/name&gt;
		&lt;LookAt&gt;
			&lt;longitude&gt;-42.79226103668024&lt;/longitude&gt;
			&lt;latitude&gt;-5.157769208740229&lt;/latitude&gt;
			&lt;altitude&gt;0&lt;/altitude&gt;
			&lt;heading&gt;0&lt;/heading&gt;
			&lt;tilt&gt;0&lt;/tilt&gt;
			&lt;gx:fovy&gt;35&lt;/gx:fovy&gt;
			&lt;range&gt;860.8926471883967&lt;/range&gt;
			&lt;altitudeMode&gt;absolute&lt;/altitudeMode&gt;
		&lt;/LookAt&gt;
		&lt;styleUrl&gt;#__managed_style_02D3BCB26D3F143C2F78&lt;/styleUrl&gt;
		&lt;LineString&gt;
			&lt;coordinates&gt;
				-42.7961802126591,-5.157657649359832,0 -42.79570272084991,-5.157611479860598,0 -42.79372103450784,-5.157581924151888,0 -42.79178541740288,-5.157532361746076,0 -42.79037123593216,-5.157393407557676,0 
			&lt;/coordinates&gt;
		&lt;/LineString&gt;
	&lt;/Placemark&gt;
&lt;/Document&gt;
&lt;/kml&gt;</t>
  </si>
  <si>
    <t>PAVIMENTAÇÃO EM PARALELEPÍPEDO DE 7.864,00 M² DE VIAS NO MUNICÍPIO DE TERESINA - PI</t>
  </si>
  <si>
    <t>PAVIMENTAÇÃO EM PARALELEPÍPEDO DE 9.210,00M² EM VIAS PÚBLICAS DO MUNICÍPIO DE TERESINA - PI</t>
  </si>
  <si>
    <t>CONSTRUÇÃO DO MERCADO DOS EMPREENDEDORES SUL, LOCALIZADO ÀS MARGENS DA BR-316, NO RESIDENCIAL TERESINA SUL, BAIRRO ANGELIM, NO MUNICÍPIO DE TERESINA - PI</t>
  </si>
  <si>
    <t>ANGÉLICA</t>
  </si>
  <si>
    <t>&lt;?xml version="1.0" encoding="UTF-8"?&gt;
&lt;kml xmlns="http://www.opengis.net/kml/2.2" xmlns:gx="http://www.google.com/kml/ext/2.2" xmlns:kml="http://www.opengis.net/kml/2.2" xmlns:atom="http://www.w3.org/2005/Atom"&gt;
&lt;Document&gt;
	&lt;name&gt;CONSTRUÇÃO DO MERCADO DOS EMPREENDEDORES SUL, LOCALIZADO ÀS MARGENS DA BR-316, NO RESIDENCIAL TERESINA SUL, BAIRRO ANGELIM, NO M.kmz&lt;/name&gt;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&lt;name&gt;CONSTRUÇÃO DO MERCADO DOS EMPREENDEDORES SUL, LOCALIZADO ÀS MARGENS DA BR-316, NO RESIDENCIAL TERESINA SUL, BAIRRO ANGELIM, NO MUNICÍPIO DE TERESINA - PI&lt;/name&gt;
		&lt;LookAt&gt;
			&lt;longitude&gt;-42.81248055596036&lt;/longitude&gt;
			&lt;latitude&gt;-5.095797218103752&lt;/latitude&gt;
			&lt;altitude&gt;0&lt;/altitude&gt;
			&lt;heading&gt;-3.672685883019718e-10&lt;/heading&gt;
			&lt;tilt&gt;45.00000000411842&lt;/tilt&gt;
			&lt;range&gt;1000.000562990357&lt;/range&gt;
			&lt;gx:altitudeMode&gt;relativeToSeaFloor&lt;/gx:altitudeMode&gt;
		&lt;/LookAt&gt;
		&lt;styleUrl&gt;#m_ylw-pushpin&lt;/styleUrl&gt;
		&lt;Point&gt;
			&lt;gx:drawOrder&gt;1&lt;/gx:drawOrder&gt;
			&lt;coordinates&gt;-42.75555555555555,-5.209166666666667,0&lt;/coordinates&gt;
		&lt;/Point&gt;
		&lt;atom:link rel="app" href="https://www.google.com/earth/about/versions/#earth-pro" title="Google Earth Pro 7.3.7.1155"&gt;&lt;/atom:link&gt;
	&lt;/Placemark&gt;
&lt;/Document&gt;
&lt;/kml&gt;</t>
  </si>
  <si>
    <t>CDTER</t>
  </si>
  <si>
    <t>PAVIMENTAÇÃO EM PARALELEPÍPEDO NO MUNICIPIO DE TERESINA – PI,1.440,00 M²</t>
  </si>
  <si>
    <t>&lt;?xml version="1.0" encoding="UTF-8"?&gt;
&lt;kml xmlns="http://www.opengis.net/kml/2.2" xmlns:gx="http://www.google.com/kml/ext/2.2" xmlns:kml="http://www.opengis.net/kml/2.2" xmlns:atom="http://www.w3.org/2005/Atom"&gt;
&lt;Document&gt;
	&lt;name&gt;Teresin - Vila Irmã Dulce.kmz&lt;/name&gt;
	&lt;StyleMap id="m_ylw-pushpin00"&gt;
		&lt;Pair&gt;
			&lt;key&gt;normal&lt;/key&gt;
			&lt;styleUrl&gt;#s_ylw-pushpin00&lt;/styleUrl&gt;
		&lt;/Pair&gt;
		&lt;Pair&gt;
			&lt;key&gt;highlight&lt;/key&gt;
			&lt;styleUrl&gt;#s_ylw-pushpin_hl114&lt;/styleUrl&gt;
		&lt;/Pair&gt;
	&lt;/StyleMap&gt;
	&lt;StyleMap id="msn_ylw-pushpin10"&gt;
		&lt;Pair&gt;
			&lt;key&gt;normal&lt;/key&gt;
			&lt;styleUrl&gt;#sn_ylw-pushpin1&lt;/styleUrl&gt;
		&lt;/Pair&gt;
		&lt;Pair&gt;
			&lt;key&gt;highlight&lt;/key&gt;
			&lt;styleUrl&gt;#sh_ylw-pushpin3&lt;/styleUrl&gt;
		&lt;/Pair&gt;
	&lt;/StyleMap&gt;
	&lt;Style id="s_ylw-pushpin00"&gt;
		&lt;IconStyle&gt;
			&lt;scale&gt;1.1&lt;/scale&gt;
			&lt;Icon&gt;
				&lt;href&gt;http://maps.google.com/mapfiles/kml/pushpin/ylw-pushpin.png&lt;/href&gt;
			&lt;/Icon&gt;
			&lt;hotSpot x="20" y="2" xunits="pixels" yunits="pixels"/&gt;
		&lt;/IconStyle&gt;
		&lt;LineStyle&gt;
			&lt;color&gt;ff0000ff&lt;/color&gt;
			&lt;width&gt;7&lt;/width&gt;
		&lt;/LineStyle&gt;
	&lt;/Style&gt;
	&lt;Style id="s_ylw-pushpin_hl114"&gt;
		&lt;IconStyle&gt;
			&lt;scale&gt;1.3&lt;/scale&gt;
			&lt;Icon&gt;
				&lt;href&gt;http://maps.google.com/mapfiles/kml/pushpin/ylw-pushpin.png&lt;/href&gt;
			&lt;/Icon&gt;
			&lt;hotSpot x="20" y="2" xunits="pixels" yunits="pixels"/&gt;
		&lt;/IconStyle&gt;
		&lt;LineStyle&gt;
			&lt;color&gt;ff0000ff&lt;/color&gt;
			&lt;width&gt;7&lt;/width&gt;
		&lt;/LineStyle&gt;
	&lt;/Style&gt;
	&lt;Style id="sh_ylw-pushpin3"&gt;
		&lt;IconStyle&gt;
			&lt;scale&gt;1.3&lt;/scale&gt;
			&lt;Icon&gt;
				&lt;href&gt;http://maps.google.com/mapfiles/kml/pushpin/ylw-pushpin.png&lt;/href&gt;
			&lt;/Icon&gt;
			&lt;hotSpot x="20" y="2" xunits="pixels" yunits="pixels"/&gt;
		&lt;/IconStyle&gt;
		&lt;LabelStyle&gt;
			&lt;color&gt;ff00ffff&lt;/color&gt;
		&lt;/LabelStyle&gt;
	&lt;/Style&gt;
	&lt;Style id="sn_ylw-pushpin1"&gt;
		&lt;IconStyle&gt;
			&lt;scale&gt;1.1&lt;/scale&gt;
			&lt;Icon&gt;
				&lt;href&gt;http://maps.google.com/mapfiles/kml/pushpin/ylw-pushpin.png&lt;/href&gt;
			&lt;/Icon&gt;
			&lt;hotSpot x="20" y="2" xunits="pixels" yunits="pixels"/&gt;
		&lt;/IconStyle&gt;
		&lt;LabelStyle&gt;
			&lt;color&gt;ff00ffff&lt;/color&gt;
		&lt;/LabelStyle&gt;
	&lt;/Style&gt;
	&lt;Folder&gt;
		&lt;name&gt;Teresina - FC°&lt;/name&gt;
		&lt;open&gt;1&lt;/open&gt;
		&lt;Placemark&gt;
			&lt;name&gt;Trecho 02, Inicio (-5.186966°, -42.775884°)&lt;/name&gt;
			&lt;LookAt&gt;
				&lt;longitude&gt;-42.77545697546562&lt;/longitude&gt;
				&lt;latitude&gt;-5.186664850462869&lt;/latitude&gt;
				&lt;altitude&gt;0&lt;/altitude&gt;
				&lt;heading&gt;8.39168892572456&lt;/heading&gt;
				&lt;tilt&gt;17.07458271502243&lt;/tilt&gt;
				&lt;range&gt;235.1307706845787&lt;/range&gt;
				&lt;gx:altitudeMode&gt;relativeToSeaFloor&lt;/gx:altitudeMode&gt;
			&lt;/LookAt&gt;
			&lt;styleUrl&gt;#msn_ylw-pushpin10&lt;/styleUrl&gt;
			&lt;Point&gt;
				&lt;gx:drawOrder&gt;1&lt;/gx:drawOrder&gt;
				&lt;coordinates&gt;-42.775884,-5.186966,0&lt;/coordinates&gt;
			&lt;/Point&gt;
		&lt;/Placemark&gt;
		&lt;Placemark&gt;
			&lt;name&gt;Trecho 01, Fim (-5.187028°, -42.775301°)&lt;/name&gt;
			&lt;LookAt&gt;
				&lt;longitude&gt;-42.77568384170696&lt;/longitude&gt;
				&lt;latitude&gt;-5.186489717027653&lt;/latitude&gt;
				&lt;altitude&gt;0&lt;/altitude&gt;
				&lt;heading&gt;8.190200167015087&lt;/heading&gt;
				&lt;tilt&gt;30.00140314136357&lt;/tilt&gt;
				&lt;range&gt;309.9341345936163&lt;/range&gt;
				&lt;gx:altitudeMode&gt;relativeToSeaFloor&lt;/gx:altitudeMode&gt;
			&lt;/LookAt&gt;
			&lt;styleUrl&gt;#msn_ylw-pushpin10&lt;/styleUrl&gt;
			&lt;Point&gt;
				&lt;gx:drawOrder&gt;1&lt;/gx:drawOrder&gt;
				&lt;coordinates&gt;-42.775301,-5.187028,0&lt;/coordinates&gt;
			&lt;/Point&gt;
		&lt;/Placemark&gt;
		&lt;Placemark&gt;
			&lt;name&gt;Trecho 01, Inicio (-5.186935°, -42.776843°)&lt;/name&gt;
			&lt;LookAt&gt;
				&lt;longitude&gt;-42.77578162166949&lt;/longitude&gt;
				&lt;latitude&gt;-5.186472327612617&lt;/latitude&gt;
				&lt;altitude&gt;0&lt;/altitude&gt;
				&lt;heading&gt;8.190209007769344&lt;/heading&gt;
				&lt;tilt&gt;30.00140401147611&lt;/tilt&gt;
				&lt;range&gt;310.1279776256223&lt;/range&gt;
				&lt;gx:altitudeMode&gt;relativeToSeaFloor&lt;/gx:altitudeMode&gt;
			&lt;/LookAt&gt;
			&lt;styleUrl&gt;#msn_ylw-pushpin10&lt;/styleUrl&gt;
			&lt;Point&gt;
				&lt;gx:drawOrder&gt;1&lt;/gx:drawOrder&gt;
				&lt;coordinates&gt;-42.776843,-5.186935,0&lt;/coordinates&gt;
			&lt;/Point&gt;
		&lt;/Placemark&gt;
		&lt;Placemark&gt;
			&lt;name&gt;Trecho 02, Fim (-5.186360°, -42.775857°)&lt;/name&gt;
			&lt;LookAt&gt;
				&lt;longitude&gt;-42.77561353611129&lt;/longitude&gt;
				&lt;latitude&gt;-5.18647547087091&lt;/latitude&gt;
				&lt;altitude&gt;0&lt;/altitude&gt;
				&lt;heading&gt;8.190193811098618&lt;/heading&gt;
				&lt;tilt&gt;30.00140271606532&lt;/tilt&gt;
				&lt;range&gt;309.8396722743834&lt;/range&gt;
				&lt;gx:altitudeMode&gt;relativeToSeaFloor&lt;/gx:altitudeMode&gt;
			&lt;/LookAt&gt;
			&lt;styleUrl&gt;#msn_ylw-pushpin10&lt;/styleUrl&gt;
			&lt;Point&gt;
				&lt;gx:drawOrder&gt;1&lt;/gx:drawOrder&gt;
				&lt;coordinates&gt;-42.775857,-5.18636,0&lt;/coordinates&gt;
			&lt;/Point&gt;
		&lt;/Placemark&gt;
		&lt;Placemark&gt;
			&lt;name&gt;172&lt;/name&gt;
			&lt;styleUrl&gt;#m_ylw-pushpin00&lt;/styleUrl&gt;
			&lt;LineString&gt;
				&lt;tessellate&gt;1&lt;/tessellate&gt;
				&lt;coordinates&gt;
					-42.77529648749928,-5.187029007686542,0 -42.77684141632004,-5.186924774070241,0 
				&lt;/coordinates&gt;
			&lt;/LineString&gt;
		&lt;/Placemark&gt;
		&lt;Placemark&gt;
			&lt;name&gt;68&lt;/name&gt;
			&lt;styleUrl&gt;#m_ylw-pushpin00&lt;/styleUrl&gt;
			&lt;LineString&gt;
				&lt;tessellate&gt;1&lt;/tessellate&gt;
				&lt;coordinates&gt;
					-42.77585819986698,-5.186352072080656,0 -42.77588480207054,-5.186965808575505,0 
				&lt;/coordinates&gt;
			&lt;/LineString&gt;
		&lt;/Placemark&gt;
		&lt;atom:link rel="app" href="https://www.google.com/earth/about/versions/#earth-pro" title="Google Earth Pro 7.3.6.10201"&gt;&lt;/atom:link&gt;
	&lt;/Folder&gt;
&lt;/Document&gt;
&lt;/kml&gt;</t>
  </si>
  <si>
    <t>PAVIMENTAÇÃO EM PARALELEPÍPEDO NA ZONA URBANA DO MUNICÍPIO DE TERESINA – PI, NOS BAIRROS VILA IRMÃ DULCE E ANGELIM, COM ÁREA TOTAL DE 2.824,00 M² - CONTRATO Nº 19/2025 - VM - OPA.</t>
  </si>
  <si>
    <t>&lt;?xml version="1.0" encoding="UTF-8"?&gt;
&lt;kml xmlns="http://www.opengis.net/kml/2.2" xmlns:gx="http://www.google.com/kml/ext/2.2" xmlns:kml="http://www.opengis.net/kml/2.2" xmlns:atom="http://www.w3.org/2005/Atom"&gt;
&lt;Document&gt;
	&lt;name&gt;KMZ_CT_019_2025.kmz&lt;/name&gt;
	&lt;StyleMap id="msn_ylw-pushpin0"&gt;
		&lt;Pair&gt;
			&lt;key&gt;normal&lt;/key&gt;
			&lt;styleUrl&gt;#sn_ylw-pushpin&lt;/styleUrl&gt;
		&lt;/Pair&gt;
		&lt;Pair&gt;
			&lt;key&gt;highlight&lt;/key&gt;
			&lt;styleUrl&gt;#sh_ylw-pushpin5&lt;/styleUrl&gt;
		&lt;/Pair&gt;
	&lt;/StyleMap&gt;
	&lt;StyleMap id="msn_ylw-pushpin1"&gt;
		&lt;Pair&gt;
			&lt;key&gt;normal&lt;/key&gt;
			&lt;styleUrl&gt;#sn_ylw-pushpin40&lt;/styleUrl&gt;
		&lt;/Pair&gt;
		&lt;Pair&gt;
			&lt;key&gt;highlight&lt;/key&gt;
			&lt;styleUrl&gt;#sh_ylw-pushpin0&lt;/styleUrl&gt;
		&lt;/Pair&gt;
	&lt;/StyleMap&gt;
	&lt;StyleMap id="msn_ylw-pushpin2"&gt;
		&lt;Pair&gt;
			&lt;key&gt;normal&lt;/key&gt;
			&lt;styleUrl&gt;#sn_ylw-pushpin3&lt;/styleUrl&gt;
		&lt;/Pair&gt;
		&lt;Pair&gt;
			&lt;key&gt;highlight&lt;/key&gt;
			&lt;styleUrl&gt;#sh_ylw-pushpin4&lt;/styleUrl&gt;
		&lt;/Pair&gt;
	&lt;/StyleMap&gt;
	&lt;StyleMap id="msn_ylw-pushpin5"&gt;
		&lt;Pair&gt;
			&lt;key&gt;normal&lt;/key&gt;
			&lt;styleUrl&gt;#sn_ylw-pushpin4&lt;/styleUrl&gt;
		&lt;/Pair&gt;
		&lt;Pair&gt;
			&lt;key&gt;highlight&lt;/key&gt;
			&lt;styleUrl&gt;#sh_ylw-pushpin2&lt;/styleUrl&gt;
		&lt;/Pair&gt;
	&lt;/StyleMap&gt;
	&lt;Style id="sh_ylw-pushpin0"&gt;
		&lt;IconStyle&gt;
			&lt;scale&gt;1.3&lt;/scale&gt;
			&lt;Icon&gt;
				&lt;href&gt;http://maps.google.com/mapfiles/kml/pushpin/ylw-pushpin.png&lt;/href&gt;
			&lt;/Icon&gt;
			&lt;hotSpot x="20" y="2" xunits="pixels" yunits="pixels"/&gt;
		&lt;/IconStyle&gt;
		&lt;LineStyle&gt;
			&lt;color&gt;ff0000ff&lt;/color&gt;
			&lt;width&gt;6&lt;/width&gt;
		&lt;/LineStyle&gt;
	&lt;/Style&gt;
	&lt;Style id="sh_ylw-pushpin2"&gt;
		&lt;IconStyle&gt;
			&lt;scale&gt;1.3&lt;/scale&gt;
			&lt;Icon&gt;
				&lt;href&gt;http://maps.google.com/mapfiles/kml/pushpin/ylw-pushpin.png&lt;/href&gt;
			&lt;/Icon&gt;
			&lt;hotSpot x="20" y="2" xunits="pixels" yunits="pixels"/&gt;
		&lt;/IconStyle&gt;
		&lt;LineStyle&gt;
			&lt;color&gt;ff0000ff&lt;/color&gt;
			&lt;width&gt;6&lt;/width&gt;
		&lt;/LineStyle&gt;
	&lt;/Style&gt;
	&lt;Style id="sh_ylw-pushpin4"&gt;
		&lt;IconStyle&gt;
			&lt;scale&gt;1.3&lt;/scale&gt;
			&lt;Icon&gt;
				&lt;href&gt;http://maps.google.com/mapfiles/kml/pushpin/ylw-pushpin.png&lt;/href&gt;
			&lt;/Icon&gt;
			&lt;hotSpot x="20" y="2" xunits="pixels" yunits="pixels"/&gt;
		&lt;/IconStyle&gt;
		&lt;LineStyle&gt;
			&lt;color&gt;ff0000ff&lt;/color&gt;
			&lt;width&gt;7&lt;/width&gt;
		&lt;/LineStyle&gt;
	&lt;/Style&gt;
	&lt;Style id="sh_ylw-pushpin5"&gt;
		&lt;IconStyle&gt;
			&lt;scale&gt;1.3&lt;/scale&gt;
			&lt;Icon&gt;
				&lt;href&gt;http://maps.google.com/mapfiles/kml/pushpin/ylw-pushpin.png&lt;/href&gt;
			&lt;/Icon&gt;
			&lt;hotSpot x="20" y="2" xunits="pixels" yunits="pixels"/&gt;
		&lt;/IconStyle&gt;
		&lt;LineStyle&gt;
			&lt;color&gt;ff0000ff&lt;/color&gt;
			&lt;width&gt;6&lt;/width&gt;
		&lt;/LineStyle&gt;
	&lt;/Style&gt;
	&lt;Style id="sn_ylw-pushpin"&gt;
		&lt;IconStyle&gt;
			&lt;scale&gt;1.1&lt;/scale&gt;
			&lt;Icon&gt;
				&lt;href&gt;http://maps.google.com/mapfiles/kml/pushpin/ylw-pushpin.png&lt;/href&gt;
			&lt;/Icon&gt;
			&lt;hotSpot x="20" y="2" xunits="pixels" yunits="pixels"/&gt;
		&lt;/IconStyle&gt;
		&lt;LineStyle&gt;
			&lt;color&gt;ff0000ff&lt;/color&gt;
			&lt;width&gt;6&lt;/width&gt;
		&lt;/LineStyle&gt;
	&lt;/Style&gt;
	&lt;Style id="sn_ylw-pushpin3"&gt;
		&lt;IconStyle&gt;
			&lt;scale&gt;1.1&lt;/scale&gt;
			&lt;Icon&gt;
				&lt;href&gt;http://maps.google.com/mapfiles/kml/pushpin/ylw-pushpin.png&lt;/href&gt;
			&lt;/Icon&gt;
			&lt;hotSpot x="20" y="2" xunits="pixels" yunits="pixels"/&gt;
		&lt;/IconStyle&gt;
		&lt;LineStyle&gt;
			&lt;color&gt;ff0000ff&lt;/color&gt;
			&lt;width&gt;7&lt;/width&gt;
		&lt;/LineStyle&gt;
	&lt;/Style&gt;
	&lt;Style id="sn_ylw-pushpin4"&gt;
		&lt;IconStyle&gt;
			&lt;scale&gt;1.1&lt;/scale&gt;
			&lt;Icon&gt;
				&lt;href&gt;http://maps.google.com/mapfiles/kml/pushpin/ylw-pushpin.png&lt;/href&gt;
			&lt;/Icon&gt;
			&lt;hotSpot x="20" y="2" xunits="pixels" yunits="pixels"/&gt;
		&lt;/IconStyle&gt;
		&lt;LineStyle&gt;
			&lt;color&gt;ff0000ff&lt;/color&gt;
			&lt;width&gt;6&lt;/width&gt;
		&lt;/LineStyle&gt;
	&lt;/Style&gt;
	&lt;Style id="sn_ylw-pushpin40"&gt;
		&lt;IconStyle&gt;
			&lt;scale&gt;1.1&lt;/scale&gt;
			&lt;Icon&gt;
				&lt;href&gt;http://maps.google.com/mapfiles/kml/pushpin/ylw-pushpin.png&lt;/href&gt;
			&lt;/Icon&gt;
			&lt;hotSpot x="20" y="2" xunits="pixels" yunits="pixels"/&gt;
		&lt;/IconStyle&gt;
		&lt;LineStyle&gt;
			&lt;color&gt;ff0000ff&lt;/color&gt;
			&lt;width&gt;6&lt;/width&gt;
		&lt;/LineStyle&gt;
	&lt;/Style&gt;
	&lt;Folder&gt;
		&lt;name&gt;019/2025&lt;/name&gt;
		&lt;open&gt;1&lt;/open&gt;
		&lt;Placemark&gt;
			&lt;name&gt;Rua Canadense&lt;/name&gt;
			&lt;styleUrl&gt;#msn_ylw-pushpin1&lt;/styleUrl&gt;
			&lt;LineString&gt;
				&lt;tessellate&gt;1&lt;/tessellate&gt;
				&lt;coordinates&gt;
					-42.77023054544652,-5.197156774206132,0 -42.77021215751608,-5.197405377222493,0 -42.77019321510003,-5.19771937260565,0 
				&lt;/coordinates&gt;
			&lt;/LineString&gt;
		&lt;/Placemark&gt;
		&lt;Placemark&gt;
			&lt;name&gt;Rua Apostulo Simão&lt;/name&gt;
			&lt;styleUrl&gt;#msn_ylw-pushpin2&lt;/styleUrl&gt;
			&lt;LineString&gt;
				&lt;tessellate&gt;1&lt;/tessellate&gt;
				&lt;coordinates&gt;
					-42.77072694211867,-5.196566159844258,0 -42.77049864692553,-5.196560049036485,0 -42.77037683226746,-5.196560327189285,0 -42.77028784028666,-5.196563194229957,0 -42.77021301658991,-5.196577444533048,0 -42.77016143366996,-5.196584605879071,0 -42.77003650473306,-5.196609018623376,0 -42.76993412220229,-5.196633670715276,0 -42.76984752922866,-5.196642891459687,0 -42.76980111614395,-5.196647045073772,0 -42.76955976364704,-5.196672657928754,0 -42.7693508294457,-5.196679355082783,0 
				&lt;/coordinates&gt;
			&lt;/LineString&gt;
		&lt;/Placemark&gt;
		&lt;Placemark&gt;
			&lt;name&gt;Rua Caribe&lt;/name&gt;
			&lt;styleUrl&gt;#msn_ylw-pushpin0&lt;/styleUrl&gt;
			&lt;LineString&gt;
				&lt;tessellate&gt;1&lt;/tessellate&gt;
				&lt;coordinates&gt;
					-42.76981380600022,-5.197127272213918,0 -42.76982622190334,-5.196914740781768,0 -42.7698262488597,-5.196674236477673,0 -42.7698245756746,-5.196639385154,0 -42.76979067585418,-5.196150820756818,0 -42.76974570477243,-5.195649475507664,0 
				&lt;/coordinates&gt;
			&lt;/LineString&gt;
		&lt;/Placemark&gt;
		&lt;Placemark&gt;
			&lt;name&gt;Rua Curimatá&lt;/name&gt;
			&lt;styleUrl&gt;#msn_ylw-pushpin5&lt;/styleUrl&gt;
			&lt;LineString&gt;
				&lt;tessellate&gt;1&lt;/tessellate&gt;
				&lt;coordinates&gt;
					-42.7692282060395,-5.197717181277119,0 -42.76917122835712,-5.199119149765253,0 
				&lt;/coordinates&gt;
			&lt;/LineString&gt;
		&lt;/Placemark&gt;
		&lt;atom:link rel="app" href="https://www.google.com/earth/about/versions/#earth-pro" title="Google Earth Pro 7.3.6.10201"&gt;&lt;/atom:link&gt;
	&lt;/Folder&gt;
&lt;/Document&gt;
&lt;/kml&gt;</t>
  </si>
  <si>
    <t>EXECUÇÃO DOS SERVIÇOS DE REFORMA DE PRAÇA NO BAIRRO ESPLANADA, MUNICÍPIO DE TERESINA - PI, COM ÁREA DE 1.333,00 M². CONT. 50/2024 - LAURITA</t>
  </si>
  <si>
    <t>&lt;?xml version="1.0" encoding="UTF-8"?&gt;
&lt;kml xmlns="http://www.opengis.net/kml/2.2" xmlns:gx="http://www.google.com/kml/ext/2.2" xmlns:kml="http://www.opengis.net/kml/2.2" xmlns:atom="http://www.w3.org/2005/Atom"&gt;
&lt;Document&gt;
	&lt;name&gt;PRAÇA.kmz&lt;/name&gt;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&lt;name&gt;PRAÇA&lt;/name&gt;
		&lt;LookAt&gt;
			&lt;longitude&gt;-42.72496281937349&lt;/longitude&gt;
			&lt;latitude&gt;-5.179156178448271&lt;/latitude&gt;
			&lt;altitude&gt;0&lt;/altitude&gt;
			&lt;heading&gt;-0.003127431246777814&lt;/heading&gt;
			&lt;tilt&gt;0&lt;/tilt&gt;
			&lt;range&gt;68864.16506985982&lt;/range&gt;
			&lt;gx:altitudeMode&gt;relativeToSeaFloor&lt;/gx:altitudeMode&gt;
		&lt;/LookAt&gt;
		&lt;styleUrl&gt;#m_ylw-pushpin&lt;/styleUrl&gt;
		&lt;Point&gt;
			&lt;gx:drawOrder&gt;1&lt;/gx:drawOrder&gt;
			&lt;coordinates&gt;-42.762842,-5.194713,0&lt;/coordinates&gt;
		&lt;/Point&gt;
		&lt;atom:link rel="app" href="https://www.google.com/earth/about/versions/#earth-pro" title="Google Earth Pro 7.3.6.10441"&gt;&lt;/atom:link&gt;
	&lt;/Placemark&gt;
&lt;/Document&gt;
&lt;/kml&gt;</t>
  </si>
  <si>
    <t>REFORMA DE UMA PRAÇA NO BAIRRO AROEIRA NO RESIDENCIAL VILA NOVA EM TERESINA-PI, COM ÁREA DE 647,60M². CONT. 62/2024 - VM</t>
  </si>
  <si>
    <t>AROEIRAS</t>
  </si>
  <si>
    <t>&lt;?xml version="1.0" encoding="UTF-8"?&gt;
&lt;kml xmlns="http://www.opengis.net/kml/2.2" xmlns:gx="http://www.google.com/kml/ext/2.2" xmlns:kml="http://www.opengis.net/kml/2.2" xmlns:atom="http://www.w3.org/2005/Atom"&gt;
&lt;Document&gt;
	&lt;name&gt;PRAÇA NO BAIRRO AROEIRA, RESIDENCIAL VILA NOVA, TERESINA-PI.kmz&lt;/name&gt;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&lt;name&gt;PRAÇA NO BAIRRO AROEIRA, RESIDENCIAL VILA NOVA, TERESINA-PI&lt;/name&gt;
		&lt;LookAt&gt;
			&lt;longitude&gt;-42.79680557047625&lt;/longitude&gt;
			&lt;latitude&gt;-5.001548710600146&lt;/latitude&gt;
			&lt;altitude&gt;0&lt;/altitude&gt;
			&lt;heading&gt;-171.583323498893&lt;/heading&gt;
			&lt;tilt&gt;0&lt;/tilt&gt;
			&lt;range&gt;82.23111021205652&lt;/range&gt;
			&lt;gx:altitudeMode&gt;relativeToSeaFloor&lt;/gx:altitudeMode&gt;
		&lt;/LookAt&gt;
		&lt;styleUrl&gt;#m_ylw-pushpin&lt;/styleUrl&gt;
		&lt;Point&gt;
			&lt;gx:drawOrder&gt;1&lt;/gx:drawOrder&gt;
			&lt;coordinates&gt;-42.79681935628483,-5.001603033390469,0&lt;/coordinates&gt;
		&lt;/Point&gt;
		&lt;atom:link rel="app" href="https://www.google.com/earth/about/versions/#earth-pro" title="Google Earth Pro 7.3.6.10441"&gt;&lt;/atom:link&gt;
	&lt;/Placemark&gt;
&lt;/Document&gt;
&lt;/kml&gt;</t>
  </si>
  <si>
    <t>PAVIMENTAÇÃO EM PARALELEPÍPEDO (AROEIRA) - TERESINA PIAUÍ</t>
  </si>
  <si>
    <t>&lt;?xml version="1.0" encoding="UTF-8"?&gt;
&lt;kml xmlns="http://www.opengis.net/kml/2.2" xmlns:gx="http://www.google.com/kml/ext/2.2" xmlns:kml="http://www.opengis.net/kml/2.2" xmlns:atom="http://www.w3.org/2005/Atom"&gt;
&lt;Document&gt;
	&lt;name&gt;Aroeira.kmz&lt;/name&gt;
	&lt;StyleMap id="msn_B"&gt;
		&lt;Pair&gt;
			&lt;key&gt;normal&lt;/key&gt;
			&lt;styleUrl&gt;#sn_B&lt;/styleUrl&gt;
		&lt;/Pair&gt;
		&lt;Pair&gt;
			&lt;key&gt;highlight&lt;/key&gt;
			&lt;styleUrl&gt;#sh_B&lt;/styleUrl&gt;
		&lt;/Pair&gt;
	&lt;/StyleMap&gt;
	&lt;Style id="sh_B"&gt;
		&lt;IconStyle&gt;
			&lt;scale&gt;1.3&lt;/scale&gt;
			&lt;Icon&gt;
				&lt;href&gt;http://maps.google.com/mapfiles/kml/paddle/B.png&lt;/href&gt;
			&lt;/Icon&gt;
			&lt;hotSpot x="32" y="1" xunits="pixels" yunits="pixels"/&gt;
		&lt;/IconStyle&gt;
		&lt;BalloonStyle&gt;
		&lt;/BalloonStyle&gt;
		&lt;ListStyle&gt;
			&lt;ItemIcon&gt;
				&lt;href&gt;http://maps.google.com/mapfiles/kml/paddle/B-lv.png&lt;/href&gt;
			&lt;/ItemIcon&gt;
		&lt;/ListStyle&gt;
	&lt;/Style&gt;
	&lt;Style id="sn_B"&gt;
		&lt;IconStyle&gt;
			&lt;scale&gt;1.1&lt;/scale&gt;
			&lt;Icon&gt;
				&lt;href&gt;http://maps.google.com/mapfiles/kml/paddle/B.png&lt;/href&gt;
			&lt;/Icon&gt;
			&lt;hotSpot x="32" y="1" xunits="pixels" yunits="pixels"/&gt;
		&lt;/IconStyle&gt;
		&lt;BalloonStyle&gt;
		&lt;/BalloonStyle&gt;
		&lt;ListStyle&gt;
			&lt;ItemIcon&gt;
				&lt;href&gt;http://maps.google.com/mapfiles/kml/paddle/B-lv.png&lt;/href&gt;
			&lt;/ItemIcon&gt;
		&lt;/ListStyle&gt;
	&lt;/Style&gt;
	&lt;Placemark&gt;
		&lt;name&gt;Marcador de local sem título&lt;/name&gt;
		&lt;LookAt&gt;
			&lt;longitude&gt;-42.79277573463846&lt;/longitude&gt;
			&lt;latitude&gt;-5.008114704950323&lt;/latitude&gt;
			&lt;altitude&gt;0&lt;/altitude&gt;
			&lt;heading&gt;-0.0002453114650135649&lt;/heading&gt;
			&lt;tilt&gt;22.50089811395152&lt;/tilt&gt;
			&lt;range&gt;173.3092065834957&lt;/range&gt;
			&lt;gx:altitudeMode&gt;relativeToSeaFloor&lt;/gx:altitudeMode&gt;
		&lt;/LookAt&gt;
		&lt;styleUrl&gt;#msn_B&lt;/styleUrl&gt;
		&lt;Point&gt;
			&lt;gx:drawOrder&gt;1&lt;/gx:drawOrder&gt;
			&lt;coordinates&gt;-42.79288311755015,-5.008512879511827,0&lt;/coordinates&gt;
		&lt;/Point&gt;
		&lt;atom:link rel="app" href="https://www.google.com/earth/about/versions/#earth-pro" title="Google Earth Pro 7.3.6.10201"&gt;&lt;/atom:link&gt;
	&lt;/Placemark&gt;
&lt;/Document&gt;
&lt;/kml&gt;</t>
  </si>
  <si>
    <t>CONSTRUÇÃO DE ACADEMIA POPULAR EM TERESINA - PI (BAIRRO ÁRVORES VERDES)</t>
  </si>
  <si>
    <t>ÁRVORES VERDES</t>
  </si>
  <si>
    <t>CANTEIRO CENTRAL NAS RUAS FRANCISCO DAS CHAGAS BORGES E RUA NOVA GLÓRIA – BAIRRO BELA VISTA III NO MUNICÍPIO DE TERESINA-PI</t>
  </si>
  <si>
    <t>BELA VISTA</t>
  </si>
  <si>
    <t>&lt;?xml version="1.0" encoding="UTF-8"?&gt;
&lt;kml xmlns="http://www.opengis.net/kml/2.2" xmlns:gx="http://www.google.com/kml/ext/2.2" xmlns:kml="http://www.opengis.net/kml/2.2" xmlns:atom="http://www.w3.org/2005/Atom"&gt;
&lt;Document&gt;
	&lt;name&gt;CANTEIRO CENTRAL BELA VISTA.kmz&lt;/name&gt;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&lt;Folder&gt;
		&lt;name&gt;CANTEIRO CENTRAL BELA VISTA&lt;/name&gt;
		&lt;open&gt;1&lt;/open&gt;
		&lt;Placemark&gt;
			&lt;name&gt;CANTEIRO CENTRAL BELA VISTA&lt;/name&gt;
			&lt;Camera&gt;
				&lt;longitude&gt;-42.77223983046994&lt;/longitude&gt;
				&lt;latitude&gt;-5.142236124824159&lt;/latitude&gt;
				&lt;altitude&gt;536.0578006610145&lt;/altitude&gt;
				&lt;heading&gt;-4.276868925510951&lt;/heading&gt;
				&lt;tilt&gt;25.64195600931908&lt;/tilt&gt;
				&lt;roll&gt;1.046499594733024&lt;/roll&gt;
				&lt;gx:altitudeMode&gt;relativeToSeaFloor&lt;/gx:altitudeMode&gt;
			&lt;/Camera&gt;
			&lt;styleUrl&gt;#m_ylw-pushpin&lt;/styleUrl&gt;
			&lt;Point&gt;
				&lt;gx:drawOrder&gt;1&lt;/gx:drawOrder&gt;
				&lt;coordinates&gt;-42.77364276752127,-5.139919444444445,0&lt;/coordinates&gt;
			&lt;/Point&gt;
		&lt;/Placemark&gt;
		&lt;atom:link rel="app" href="https://www.google.com/earth/about/versions/#earth-pro" title="Google Earth Pro 7.3.6.10201"&gt;&lt;/atom:link&gt;
	&lt;/Folder&gt;
&lt;/Document&gt;
&lt;/kml&gt;</t>
  </si>
  <si>
    <t>SIDERPI</t>
  </si>
  <si>
    <t>PAVIMENTAÇÃO EM PARALELEPÍPEDO DE 6.440,00M² DE RUAS NO MUNICÍPIO DE TERESINA - PI</t>
  </si>
  <si>
    <t>BRASILAR</t>
  </si>
  <si>
    <t>&lt;?xml version="1.0" encoding="UTF-8"?&gt;
&lt;kml xmlns="http://www.opengis.net/kml/2.2" xmlns:gx="http://www.google.com/kml/ext/2.2" xmlns:kml="http://www.opengis.net/kml/2.2" xmlns:atom="http://www.w3.org/2005/Atom"&gt;
&lt;Document&gt;
	&lt;name&gt;PROJETO 6.440,00 M² TERESINA.kml&lt;/name&gt;
	&lt;Style id="failed"&gt;
	&lt;/Style&gt;
	&lt;StyleMap id="failed0"&gt;
		&lt;Pair&gt;
			&lt;key&gt;normal&lt;/key&gt;
			&lt;styleUrl&gt;#failed11&lt;/styleUrl&gt;
		&lt;/Pair&gt;
		&lt;Pair&gt;
			&lt;key&gt;highlight&lt;/key&gt;
			&lt;styleUrl&gt;#failed5&lt;/styleUrl&gt;
		&lt;/Pair&gt;
	&lt;/StyleMap&gt;
	&lt;StyleMap id="failed1"&gt;
		&lt;Pair&gt;
			&lt;key&gt;normal&lt;/key&gt;
			&lt;styleUrl&gt;#failed13&lt;/styleUrl&gt;
		&lt;/Pair&gt;
		&lt;Pair&gt;
			&lt;key&gt;highlight&lt;/key&gt;
			&lt;styleUrl&gt;#failed12&lt;/styleUrl&gt;
		&lt;/Pair&gt;
	&lt;/StyleMap&gt;
	&lt;StyleMap id="failed2"&gt;
		&lt;Pair&gt;
			&lt;key&gt;normal&lt;/key&gt;
			&lt;styleUrl&gt;#failed3&lt;/styleUrl&gt;
		&lt;/Pair&gt;
		&lt;Pair&gt;
			&lt;key&gt;highlight&lt;/key&gt;
			&lt;styleUrl&gt;#failed10&lt;/styleUrl&gt;
		&lt;/Pair&gt;
	&lt;/StyleMap&gt;
	&lt;Style id="failed3"&gt;
	&lt;/Style&gt;
	&lt;StyleMap id="failed4"&gt;
		&lt;Pair&gt;
			&lt;key&gt;normal&lt;/key&gt;
			&lt;styleUrl&gt;#failed7&lt;/styleUrl&gt;
		&lt;/Pair&gt;
		&lt;Pair&gt;
			&lt;key&gt;highlight&lt;/key&gt;
			&lt;styleUrl&gt;#failed8&lt;/styleUrl&gt;
		&lt;/Pair&gt;
	&lt;/StyleMap&gt;
	&lt;Style id="failed5"&gt;
	&lt;/Style&gt;
	&lt;StyleMap id="failed6"&gt;
		&lt;Pair&gt;
			&lt;key&gt;normal&lt;/key&gt;
			&lt;styleUrl&gt;#failed15&lt;/styleUrl&gt;
		&lt;/Pair&gt;
		&lt;Pair&gt;
			&lt;key&gt;highlight&lt;/key&gt;
			&lt;styleUrl&gt;#failed&lt;/styleUrl&gt;
		&lt;/Pair&gt;
	&lt;/StyleMap&gt;
	&lt;Style id="failed7"&gt;
	&lt;/Style&gt;
	&lt;Style id="failed8"&gt;
	&lt;/Style&gt;
	&lt;Style id="failed9"&gt;
	&lt;/Style&gt;
	&lt;Style id="failed10"&gt;
	&lt;/Style&gt;
	&lt;Style id="failed11"&gt;
	&lt;/Style&gt;
	&lt;Style id="failed12"&gt;
	&lt;/Style&gt;
	&lt;Style id="failed13"&gt;
	&lt;/Style&gt;
	&lt;Style id="failed14"&gt;
	&lt;/Style&gt;
	&lt;Style id="failed15"&gt;
	&lt;/Style&gt;
	&lt;StyleMap id="failed16"&gt;
		&lt;Pair&gt;
			&lt;key&gt;normal&lt;/key&gt;
			&lt;styleUrl&gt;#failed9&lt;/styleUrl&gt;
		&lt;/Pair&gt;
		&lt;Pair&gt;
			&lt;key&gt;highlight&lt;/key&gt;
			&lt;styleUrl&gt;#failed14&lt;/styleUrl&gt;
		&lt;/Pair&gt;
	&lt;/StyleMap&gt;
	&lt;StyleMap id="inline"&gt;
		&lt;Pair&gt;
			&lt;key&gt;normal&lt;/key&gt;
			&lt;styleUrl&gt;#inline4&lt;/styleUrl&gt;
		&lt;/Pair&gt;
		&lt;Pair&gt;
			&lt;key&gt;highlight&lt;/key&gt;
			&lt;styleUrl&gt;#inline5&lt;/styleUrl&gt;
		&lt;/Pair&gt;
	&lt;/StyleMap&gt;
	&lt;Style id="inline0"&gt;
		&lt;LineStyle&gt;
			&lt;color&gt;ffffff00&lt;/color&gt;
			&lt;width&gt;7&lt;/width&gt;
		&lt;/LineStyle&gt;
		&lt;PolyStyle&gt;
			&lt;fill&gt;0&lt;/fill&gt;
		&lt;/PolyStyle&gt;
	&lt;/Style&gt;
	&lt;Style id="inline1"&gt;
		&lt;LineStyle&gt;
			&lt;color&gt;ffff0000&lt;/color&gt;
			&lt;width&gt;7&lt;/width&gt;
		&lt;/LineStyle&gt;
		&lt;PolyStyle&gt;
			&lt;fill&gt;0&lt;/fill&gt;
		&lt;/PolyStyle&gt;
	&lt;/Style&gt;
	&lt;Style id="inline2"&gt;
		&lt;LineStyle&gt;
			&lt;color&gt;ffffff00&lt;/color&gt;
			&lt;width&gt;7&lt;/width&gt;
		&lt;/LineStyle&gt;
		&lt;PolyStyle&gt;
			&lt;fill&gt;0&lt;/fill&gt;
		&lt;/PolyStyle&gt;
	&lt;/Style&gt;
	&lt;Style id="inline3"&gt;
		&lt;LineStyle&gt;
			&lt;color&gt;ffff0000&lt;/color&gt;
			&lt;width&gt;7&lt;/width&gt;
		&lt;/LineStyle&gt;
		&lt;PolyStyle&gt;
			&lt;fill&gt;0&lt;/fill&gt;
		&lt;/PolyStyle&gt;
	&lt;/Style&gt;
	&lt;Style id="inline4"&gt;
		&lt;LineStyle&gt;
			&lt;color&gt;ff0000ff&lt;/color&gt;
			&lt;width&gt;7&lt;/width&gt;
		&lt;/LineStyle&gt;
		&lt;PolyStyle&gt;
			&lt;fill&gt;0&lt;/fill&gt;
		&lt;/PolyStyle&gt;
	&lt;/Style&gt;
	&lt;Style id="inline5"&gt;
		&lt;LineStyle&gt;
			&lt;color&gt;ff0000ff&lt;/color&gt;
			&lt;width&gt;7&lt;/width&gt;
		&lt;/LineStyle&gt;
		&lt;PolyStyle&gt;
			&lt;fill&gt;0&lt;/fill&gt;
		&lt;/PolyStyle&gt;
	&lt;/Style&gt;
	&lt;StyleMap id="inline6"&gt;
		&lt;Pair&gt;
			&lt;key&gt;normal&lt;/key&gt;
			&lt;styleUrl&gt;#inline3&lt;/styleUrl&gt;
		&lt;/Pair&gt;
		&lt;Pair&gt;
			&lt;key&gt;highlight&lt;/key&gt;
			&lt;styleUrl&gt;#inline1&lt;/styleUrl&gt;
		&lt;/Pair&gt;
	&lt;/StyleMap&gt;
	&lt;StyleMap id="inline7"&gt;
		&lt;Pair&gt;
			&lt;key&gt;normal&lt;/key&gt;
			&lt;styleUrl&gt;#inline2&lt;/styleUrl&gt;
		&lt;/Pair&gt;
		&lt;Pair&gt;
			&lt;key&gt;highlight&lt;/key&gt;
			&lt;styleUrl&gt;#inline0&lt;/styleUrl&gt;
		&lt;/Pair&gt;
	&lt;/StyleMap&gt;
	&lt;Folder&gt;
		&lt;name&gt;6.440&lt;/name&gt;
		&lt;open&gt;1&lt;/open&gt;
		&lt;Placemark&gt;
			&lt;name&gt;RUA ADOLFO CHAVES - 6440&lt;/name&gt;
			&lt;description&gt;150,00 X 7,00 M
&lt;/description&gt;
			&lt;styleUrl&gt;#inline&lt;/styleUrl&gt;
			&lt;LineString&gt;
				&lt;tessellate&gt;1&lt;/tessellate&gt;
				&lt;coordinates&gt;
					-42.7567338678592,-5.179029578577533,0 -42.75798529586775,-5.179436522106748,0 
				&lt;/coordinates&gt;
			&lt;/LineString&gt;
		&lt;/Placemark&gt;
		&lt;Placemark&gt;
			&lt;name&gt;INÍCIO -5.17944 -42.757986&lt;/name&gt;
			&lt;styleUrl&gt;#failed2&lt;/styleUrl&gt;
			&lt;Point&gt;
				&lt;coordinates&gt;-42.757986,-5.17944,0&lt;/coordinates&gt;
			&lt;/Point&gt;
		&lt;/Placemark&gt;
		&lt;Placemark&gt;
			&lt;name&gt;FIM -5.179033 -42.756740&lt;/name&gt;
			&lt;styleUrl&gt;#failed16&lt;/styleUrl&gt;
			&lt;Point&gt;
				&lt;coordinates&gt;-42.75674,-5.179033,0&lt;/coordinates&gt;
			&lt;/Point&gt;
		&lt;/Placemark&gt;
		&lt;Placemark&gt;
			&lt;name&gt;RUA JOSÉ SERRATE - 6440&lt;/name&gt;
			&lt;description&gt;165,00 X 7,00&lt;/description&gt;
			&lt;styleUrl&gt;#inline6&lt;/styleUrl&gt;
			&lt;LineString&gt;
				&lt;tessellate&gt;1&lt;/tessellate&gt;
				&lt;coordinates&gt;
					-42.7562974761862,-5.180466587756229,0 -42.75674339767505,-5.179030931003917,0 
				&lt;/coordinates&gt;
			&lt;/LineString&gt;
		&lt;/Placemark&gt;
		&lt;Placemark&gt;
			&lt;name&gt;INÍCIO -5.180468 -42.756298&lt;/name&gt;
			&lt;styleUrl&gt;#failed0&lt;/styleUrl&gt;
			&lt;Point&gt;
				&lt;coordinates&gt;-42.756298,-5.180468,0&lt;/coordinates&gt;
			&lt;/Point&gt;
		&lt;/Placemark&gt;
		&lt;Placemark&gt;
			&lt;name&gt;FIM -5.179029 -42.756747&lt;/name&gt;
			&lt;styleUrl&gt;#failed6&lt;/styleUrl&gt;
			&lt;Point&gt;
				&lt;coordinates&gt;-42.756747,-5.179029,0&lt;/coordinates&gt;
			&lt;/Point&gt;
		&lt;/Placemark&gt;
		&lt;Placemark&gt;
			&lt;name&gt;RUA ELIAS DO VALE - 6440&lt;/name&gt;
			&lt;description&gt;596,00 X 7,00
NA VERDADE O NOME DA RUA É JOSÉ STEREMBERG&lt;/description&gt;
			&lt;styleUrl&gt;#inline7&lt;/styleUrl&gt;
			&lt;LineString&gt;
				&lt;tessellate&gt;1&lt;/tessellate&gt;
				&lt;coordinates&gt;
					-42.75200298553276,-5.181015731232566,0 -42.75232109781467,-5.18002940556618,0 -42.75260219734944,-5.179869285279958,0 -42.75283243209168,-5.179745497397941,0 -42.75302467195381,-5.179480577384688,0 -42.75313052802915,-5.179457851122298,0 -42.75330753336926,-5.179491904421877,0 -42.75629687034626,-5.180518000469077,0 
				&lt;/coordinates&gt;
			&lt;/LineString&gt;
		&lt;/Placemark&gt;
		&lt;Placemark&gt;
			&lt;name&gt;INÍCIO -5.180516 -42.756292&lt;/name&gt;
			&lt;styleUrl&gt;#failed1&lt;/styleUrl&gt;
			&lt;Point&gt;
				&lt;coordinates&gt;-42.756292,-5.180516,0&lt;/coordinates&gt;
			&lt;/Point&gt;
		&lt;/Placemark&gt;
		&lt;Placemark&gt;
			&lt;name&gt;FIM -5.181030 -42.752025&lt;/name&gt;
			&lt;styleUrl&gt;#failed4&lt;/styleUrl&gt;
			&lt;Point&gt;
				&lt;coordinates&gt;-42.752025,-5.18103,0&lt;/coordinates&gt;
			&lt;/Point&gt;
		&lt;/Placemark&gt;
		&lt;atom:link rel="app" href="https://www.google.com/earth/about/versions/#earth-pro" title="Google Earth Pro 7.3.6.10201"&gt;&lt;/atom:link&gt;
	&lt;/Folder&gt;
&lt;/Document&gt;
&lt;/kml&gt;</t>
  </si>
  <si>
    <t>REFORMA E CONSTRUÇÃO DE PISTA DE CAMINHADA COM ÁREA DE 258 M², NO PARQUE AMBIENTAL DO BAIRRO SANTA CLARA, ZONA RURAL DO MUNICÍPIO DE TERESINA-PI, CONTRATO 40/2024 - LAURITA.</t>
  </si>
  <si>
    <t>&lt;?xml version="1.0" encoding="UTF-8"?&gt;
&lt;kml xmlns="http://www.opengis.net/kml/2.2" xmlns:gx="http://www.google.com/kml/ext/2.2" xmlns:kml="http://www.opengis.net/kml/2.2" xmlns:atom="http://www.w3.org/2005/Atom"&gt;
&lt;Document&gt;
	&lt;name&gt;PISTA DE CAMINHADA PARQUE AMBIENTAL DO BAIRRO SANTA CLARA.kmz&lt;/name&gt;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&lt;LineStyle&gt;
			&lt;color&gt;ff00ffff&lt;/color&gt;
			&lt;width&gt;2&lt;/width&gt;
		&lt;/LineStyle&gt;
	&lt;/Style&gt;
	&lt;Style id="s_ylw-pushpin_hl"&gt;
		&lt;IconStyle&gt;
			&lt;scale&gt;1.3&lt;/scale&gt;
			&lt;Icon&gt;
				&lt;href&gt;http://maps.google.com/mapfiles/kml/pushpin/ylw-pushpin.png&lt;/href&gt;
			&lt;/Icon&gt;
			&lt;hotSpot x="20" y="2" xunits="pixels" yunits="pixels"/&gt;
		&lt;/IconStyle&gt;
		&lt;LineStyle&gt;
			&lt;color&gt;ff00ffff&lt;/color&gt;
			&lt;width&gt;2&lt;/width&gt;
		&lt;/LineStyle&gt;
	&lt;/Style&gt;
	&lt;Placemark&gt;
		&lt;name&gt;PISTA DE CAMINHADA PARQUE AMBIENTAL DO BAIRRO SANTA CLARA&lt;/name&gt;
		&lt;styleUrl&gt;#m_ylw-pushpin&lt;/styleUrl&gt;
		&lt;LineString&gt;
			&lt;tessellate&gt;1&lt;/tessellate&gt;
			&lt;coordinates&gt;
				-42.76087425925581,-5.183322790936258,0 -42.76125049620076,-5.182115711273276,0 
			&lt;/coordinates&gt;
		&lt;/LineString&gt;
		&lt;atom:link rel="app" href="https://www.google.com/earth/about/versions/#earth-pro" title="Google Earth Pro 7.3.6.10441"&gt;&lt;/atom:link&gt;
	&lt;/Placemark&gt;
&lt;/Document&gt;
&lt;/kml&gt;</t>
  </si>
  <si>
    <t>REFORMA DO PRÉDIO SEDE DA SETUR NO MUNICÍPIO DE TERESINA - PI.</t>
  </si>
  <si>
    <t>CABRAL</t>
  </si>
  <si>
    <t>&lt;?xml version="1.0" encoding="UTF-8"?&gt;
&lt;kml xmlns="http://www.opengis.net/kml/2.2" xmlns:gx="http://www.google.com/kml/ext/2.2" xmlns:kml="http://www.opengis.net/kml/2.2" xmlns:atom="http://www.w3.org/2005/Atom"&gt;
&lt;Document id="1rsITNc960ydwqzdwJd8ivPjmujIT5O8m"&gt;
	&lt;name&gt;Mapa sem título&lt;/name&gt;
	&lt;gx:CascadingStyle kml:id="__managed_style_0473B556483F14139A01_highlight"&gt;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kml:id="__managed_style_0473B556483F14139A01_normal"&gt;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id="__managed_style_0473B556483F14139A01"&gt;
		&lt;Pair&gt;
			&lt;key&gt;normal&lt;/key&gt;
			&lt;styleUrl&gt;#__managed_style_0473B556483F14139A01_normal&lt;/styleUrl&gt;
		&lt;/Pair&gt;
		&lt;Pair&gt;
			&lt;key&gt;highlight&lt;/key&gt;
			&lt;styleUrl&gt;#__managed_style_0473B556483F14139A01_highlight&lt;/styleUrl&gt;
		&lt;/Pair&gt;
	&lt;/StyleMap&gt;
	&lt;Placemark id="0F997264B93F141E131C"&gt;
		&lt;gx:mid&gt;/g/11nfsghq75&lt;/gx:mid&gt;
		&lt;gx:fid&gt;0x78e3763b31b0a7b:0x35305164080ddcdd&lt;/gx:fid&gt;
		&lt;LookAt&gt;
			&lt;longitude&gt;-42.79890319999999&lt;/longitude&gt;
			&lt;latitude&gt;-5.0806212&lt;/latitude&gt;
			&lt;altitude&gt;0&lt;/altitude&gt;
			&lt;heading&gt;0&lt;/heading&gt;
			&lt;tilt&gt;0&lt;/tilt&gt;
			&lt;gx:fovy&gt;35&lt;/gx:fovy&gt;
			&lt;range&gt;1051.895564824518&lt;/range&gt;
			&lt;altitudeMode&gt;relativeToGround&lt;/altitudeMode&gt;
		&lt;/LookAt&gt;
		&lt;styleUrl&gt;#__managed_style_0473B556483F14139A01&lt;/styleUrl&gt;
		&lt;Point&gt;
			&lt;altitudeMode&gt;relativeToGround&lt;/altitudeMode&gt;
			&lt;coordinates&gt;-42.7989261,-5.080632599999999,0&lt;/coordinates&gt;
		&lt;/Point&gt;
	&lt;/Placemark&gt;
&lt;/Document&gt;
&lt;/kml&gt;</t>
  </si>
  <si>
    <t>CFLP</t>
  </si>
  <si>
    <t>CONSTRUÇÃO DE POSTO DE ABASTECIMENTO NA VIA FÉRREA DA CMTP</t>
  </si>
  <si>
    <t>&lt;?xml version="1.0" encoding="UTF-8"?&gt;
&lt;kml xmlns="http://www.opengis.net/kml/2.2" xmlns:gx="http://www.google.com/kml/ext/2.2" xmlns:kml="http://www.opengis.net/kml/2.2" xmlns:atom="http://www.w3.org/2005/Atom"&gt;
&lt;Document id="document"&gt;
	&lt;name&gt;Mapa sem título&lt;/name&gt;
	&lt;gx:CascadingStyle kml:id="__managed_style_04CF1024363F1404C4B6_highlight"&gt;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kml:id="__managed_style_04CF1024363F1404C4B6_normal"&gt;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id="__managed_style_04CF1024363F1404C4B6"&gt;
		&lt;Pair&gt;
			&lt;key&gt;normal&lt;/key&gt;
			&lt;styleUrl&gt;#__managed_style_04CF1024363F1404C4B6_normal&lt;/styleUrl&gt;
		&lt;/Pair&gt;
		&lt;Pair&gt;
			&lt;key&gt;highlight&lt;/key&gt;
			&lt;styleUrl&gt;#__managed_style_04CF1024363F1404C4B6_highlight&lt;/styleUrl&gt;
		&lt;/Pair&gt;
	&lt;/StyleMap&gt;
	&lt;Placemark id="02DF87E5803F1404C49E"&gt;
		&lt;gx:mid&gt;/g/11svplhwjj&lt;/gx:mid&gt;
		&lt;gx:fid&gt;0x78e39e736b81fbb:0x17826c7be592fc1c&lt;/gx:fid&gt;
		&lt;LookAt&gt;
			&lt;longitude&gt;-42.8037883&lt;/longitude&gt;
			&lt;latitude&gt;-5.0849134&lt;/latitude&gt;
			&lt;altitude&gt;0&lt;/altitude&gt;
			&lt;heading&gt;0&lt;/heading&gt;
			&lt;tilt&gt;0&lt;/tilt&gt;
			&lt;gx:fovy&gt;35&lt;/gx:fovy&gt;
			&lt;range&gt;1051.887718630747&lt;/range&gt;
			&lt;altitudeMode&gt;relativeToGround&lt;/altitudeMode&gt;
		&lt;/LookAt&gt;
		&lt;styleUrl&gt;#__managed_style_04CF1024363F1404C4B6&lt;/styleUrl&gt;
		&lt;Point&gt;
			&lt;altitudeMode&gt;relativeToGround&lt;/altitudeMode&gt;
			&lt;coordinates&gt;-42.8037883,-5.0849134,0&lt;/coordinates&gt;
		&lt;/Point&gt;
	&lt;/Placemark&gt;
&lt;/Document&gt;
&lt;/kml&gt;</t>
  </si>
  <si>
    <t>REFORMA DA CÂMARA DOS VEREADORES DE TERESINA-PI</t>
  </si>
  <si>
    <t>PAVIMENTAÇÃO EM PARALELEPÍPEDO DE 4.175,00 M² DE VIAS NO MUNICÍPIO DE TERESINA - PI</t>
  </si>
  <si>
    <t>CONSTRUÇÃO DE CLÍNICA VETERINÁRIA NO MUNICÍPIO DE TERESINA - PI</t>
  </si>
  <si>
    <t>CATARINA</t>
  </si>
  <si>
    <t>&lt;?xml version="1.0" encoding="UTF-8"?&gt;
&lt;kml xmlns="http://www.opengis.net/kml/2.2" xmlns:gx="http://www.google.com/kml/ext/2.2" xmlns:kml="http://www.opengis.net/kml/2.2" xmlns:atom="http://www.w3.org/2005/Atom"&gt;
&lt;Document id="document"&gt;
	&lt;name&gt;Mapa sem título&lt;/name&gt;
	&lt;gx:CascadingStyle kml:id="__managed_style_01E131B0C43F13E51634_highlight"&gt;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kml:id="__managed_style_01E131B0C43F13E51634_normal"&gt;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id="__managed_style_01E131B0C43F13E51634"&gt;
		&lt;Pair&gt;
			&lt;key&gt;normal&lt;/key&gt;
			&lt;styleUrl&gt;#__managed_style_01E131B0C43F13E51634_normal&lt;/styleUrl&gt;
		&lt;/Pair&gt;
		&lt;Pair&gt;
			&lt;key&gt;highlight&lt;/key&gt;
			&lt;styleUrl&gt;#__managed_style_01E131B0C43F13E51634_highlight&lt;/styleUrl&gt;
		&lt;/Pair&gt;
	&lt;/StyleMap&gt;
	&lt;Placemark id="0176A3DD153F13E5F8B0"&gt;
		&lt;name&gt;Marcador de local sem título&lt;/name&gt;
		&lt;LookAt&gt;
			&lt;longitude&gt;-42.78129311857766&lt;/longitude&gt;
			&lt;latitude&gt;-5.120717786501106&lt;/latitude&gt;
			&lt;altitude&gt;91.22289461984229&lt;/altitude&gt;
			&lt;heading&gt;0.009242159396394082&lt;/heading&gt;
			&lt;tilt&gt;0&lt;/tilt&gt;
			&lt;gx:fovy&gt;35&lt;/gx:fovy&gt;
			&lt;range&gt;133.0025099980958&lt;/range&gt;
			&lt;altitudeMode&gt;absolute&lt;/altitudeMode&gt;
		&lt;/LookAt&gt;
		&lt;styleUrl&gt;#__managed_style_01E131B0C43F13E51634&lt;/styleUrl&gt;
		&lt;Point&gt;
			&lt;coordinates&gt;-42.78117161283935,-5.120708046405547,90.67845364976782&lt;/coordinates&gt;
		&lt;/Point&gt;
	&lt;/Placemark&gt;
&lt;/Document&gt;
&lt;/kml&gt;</t>
  </si>
  <si>
    <t>CONSTRUÇÃO E REFORMA DA PRAÇA RITA MANASSÉS NO PARQUE RODOVIÁRIO, COM ÁREA DE 3.260,00 M², NO MUNICÍPIO DE TERESINA-PI. CONT. Nº 31/2024 - LUAN CUNHA</t>
  </si>
  <si>
    <t>&lt;?xml version="1.0" encoding="UTF-8"?&gt;
&lt;kml xmlns="http://www.opengis.net/kml/2.2" xmlns:gx="http://www.google.com/kml/ext/2.2" xmlns:kml="http://www.opengis.net/kml/2.2" xmlns:atom="http://www.w3.org/2005/Atom"&gt;
&lt;Document&gt;
	&lt;name&gt;PRÇA RITA MANASSES, PQ RODOVIÁRIO, TERESINA-PI.kmz&lt;/name&gt;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&lt;name&gt;PRÇA RITA MANASSES, PQ RODOVIÁRIO, TERESINA-PI&lt;/name&gt;
		&lt;LookAt&gt;
			&lt;longitude&gt;-42.78100642246367&lt;/longitude&gt;
			&lt;latitude&gt;-5.11646617038511&lt;/latitude&gt;
			&lt;altitude&gt;0&lt;/altitude&gt;
			&lt;heading&gt;-17.85417079362696&lt;/heading&gt;
			&lt;tilt&gt;0&lt;/tilt&gt;
			&lt;range&gt;570.3017505238674&lt;/range&gt;
			&lt;gx:altitudeMode&gt;relativeToSeaFloor&lt;/gx:altitudeMode&gt;
		&lt;/LookAt&gt;
		&lt;styleUrl&gt;#m_ylw-pushpin&lt;/styleUrl&gt;
		&lt;Point&gt;
			&lt;gx:drawOrder&gt;1&lt;/gx:drawOrder&gt;
			&lt;coordinates&gt;-42.78101771831864,-5.116347222222222,0&lt;/coordinates&gt;
		&lt;/Point&gt;
		&lt;atom:link rel="app" href="https://www.google.com/earth/about/versions/#earth-pro" title="Google Earth Pro 7.3.6.10441"&gt;&lt;/atom:link&gt;
	&lt;/Placemark&gt;
&lt;/Document&gt;
&lt;/kml&gt;</t>
  </si>
  <si>
    <t>SECULT</t>
  </si>
  <si>
    <t>PNAB - REFORMA E MODERNIZAÇÃO DO MEMORIAL ESPERANÇA GARCIA, EM TERESINA/PI</t>
  </si>
  <si>
    <t>REFORMA E ADEQUAÇÃO PARA IMPLANTAÇÃO DO CEO – CENTRO DE ESPECIALIDADES ODONTOLOGICASDO AMBULATORIO INTEGRADO GOV. DIRCEU MENDES ARCOVERDE (HGV), TERESINA – PI</t>
  </si>
  <si>
    <t>EXECUÇÃO DE PAVIMENTAÇÃO DE 4.900,00M² EM PARALELEPÍPEDO NO MUNICIPIO DE TERESINA-PI</t>
  </si>
  <si>
    <t>CERÂMICA CIL</t>
  </si>
  <si>
    <t>PAVIMENTAÇÃO EM PARALELEPÍPEDO DE 5.581,20 M² EM TERESINA NO RESIDENCIAL DANDARA DOS COCAIS</t>
  </si>
  <si>
    <t>REFORMA DE PRAÇA NO BAIRRO CIDADE JARDIM TOTALIZANDO 1.136,00 M² MUNICÍPIO DE TERESINA- PI</t>
  </si>
  <si>
    <t>CIDADE JARDIM</t>
  </si>
  <si>
    <t>&lt;?xml version="1.0" encoding="UTF-8"?&gt;
&lt;kml xmlns="http://www.opengis.net/kml/2.2" xmlns:gx="http://www.google.com/kml/ext/2.2" xmlns:kml="http://www.opengis.net/kml/2.2" xmlns:atom="http://www.w3.org/2005/Atom"&gt;
&lt;Document&gt;
	&lt;name&gt;PRAÇA CIDADE JARDIM   5° 0&amp;apos;50.23S 42°46&amp;apos;23.20O.kml&lt;/name&gt;
	&lt;Style id="failed"&gt;
	&lt;/Style&gt;
	&lt;Style id="failed0"&gt;
	&lt;/Style&gt;
	&lt;StyleMap id="failed1"&gt;
		&lt;Pair&gt;
			&lt;key&gt;normal&lt;/key&gt;
			&lt;styleUrl&gt;#failed&lt;/styleUrl&gt;
		&lt;/Pair&gt;
		&lt;Pair&gt;
			&lt;key&gt;highlight&lt;/key&gt;
			&lt;styleUrl&gt;#failed0&lt;/styleUrl&gt;
		&lt;/Pair&gt;
	&lt;/StyleMap&gt;
	&lt;Placemark&gt;
		&lt;name&gt;PRAÇA CIDADE JARDIM   5° 0&amp;apos;50.23&amp;quot;S 42°46&amp;apos;23.20&amp;quot;O&lt;/name&gt;
		&lt;styleUrl&gt;#failed1&lt;/styleUrl&gt;
		&lt;Point&gt;
			&lt;coordinates&gt;-42.77311111111111,-5.013952777777778,0&lt;/coordinates&gt;
		&lt;/Point&gt;
		&lt;atom:link rel="app" href="https://www.google.com/earth/about/versions/#earth-pro" title="Google Earth Pro 7.3.6.10201"&gt;&lt;/atom:link&gt;
	&lt;/Placemark&gt;
&lt;/Document&gt;
&lt;/kml&gt;</t>
  </si>
  <si>
    <t>REFORMA DOS BANHEIROS DAS ENFERMARIAS, CENTRO CIRURGICO E CPN DA MATERNIDADE DONA EVANGELINA ROSA - MDER, EM TERESINA - P1.</t>
  </si>
  <si>
    <t>CRISTO REI</t>
  </si>
  <si>
    <t>&lt;?xml version="1.0" encoding="UTF-8"?&gt;
&lt;kml xmlns="http://www.opengis.net/kml/2.2" xmlns:gx="http://www.google.com/kml/ext/2.2" xmlns:kml="http://www.opengis.net/kml/2.2" xmlns:atom="http://www.w3.org/2005/Atom"&gt;
&lt;Document id="document"&gt;
	&lt;name&gt;Mapa sem título&lt;/name&gt;
	&lt;gx:CascadingStyle kml:id="__managed_style_09E6261C3D3F13D6D866_highlight"&gt;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kml:id="__managed_style_09E6261C3D3F13D6D866_normal"&gt;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id="__managed_style_09E6261C3D3F13D6D866"&gt;
		&lt;Pair&gt;
			&lt;key&gt;normal&lt;/key&gt;
			&lt;styleUrl&gt;#__managed_style_09E6261C3D3F13D6D866_normal&lt;/styleUrl&gt;
		&lt;/Pair&gt;
		&lt;Pair&gt;
			&lt;key&gt;highlight&lt;/key&gt;
			&lt;styleUrl&gt;#__managed_style_09E6261C3D3F13D6D866_highlight&lt;/styleUrl&gt;
		&lt;/Pair&gt;
	&lt;/StyleMap&gt;
	&lt;Placemark id="09C10829153F13D6D85B"&gt;
		&lt;gx:mid&gt;/g/1tjt23x_&lt;/gx:mid&gt;
		&lt;gx:fid&gt;0x78e30ac82d37ac7:0x1c81a265b24ae164&lt;/gx:fid&gt;
		&lt;LookAt&gt;
			&lt;longitude&gt;-42.78837050000001&lt;/longitude&gt;
			&lt;latitude&gt;-5.0953102&lt;/latitude&gt;
			&lt;altitude&gt;0&lt;/altitude&gt;
			&lt;heading&gt;0&lt;/heading&gt;
			&lt;tilt&gt;0&lt;/tilt&gt;
			&lt;gx:fovy&gt;35&lt;/gx:fovy&gt;
			&lt;range&gt;1051.86868581005&lt;/range&gt;
			&lt;altitudeMode&gt;relativeToGround&lt;/altitudeMode&gt;
		&lt;/LookAt&gt;
		&lt;styleUrl&gt;#__managed_style_09E6261C3D3F13D6D866&lt;/styleUrl&gt;
		&lt;Point&gt;
			&lt;altitudeMode&gt;relativeToGround&lt;/altitudeMode&gt;
			&lt;coordinates&gt;-42.7883705,-5.0953102,0&lt;/coordinates&gt;
		&lt;/Point&gt;
	&lt;/Placemark&gt;
&lt;/Document&gt;
&lt;/kml&gt;</t>
  </si>
  <si>
    <t>CONSTRUÇÃO DO BATALHÃO DE CHOQUE DA PM PI</t>
  </si>
  <si>
    <t>DIRCEU</t>
  </si>
  <si>
    <t>&lt;?xml version="1.0" encoding="UTF-8"?&gt;
&lt;kml xmlns="http://www.opengis.net/kml/2.2" xmlns:gx="http://www.google.com/kml/ext/2.2" xmlns:kml="http://www.opengis.net/kml/2.2" xmlns:atom="http://www.w3.org/2005/Atom"&gt;
&lt;Document id="16g-9XKMj-HPBFYKGaUPchQ_athvlkX2C"&gt;
	&lt;name&gt;CONSTRUÇÃO DO BATALHÃO DE CHOQUE DA PM PI&lt;/name&gt;
	&lt;gx:CascadingStyle kml:id="__managed_style_187238A0ED3F1466842C"&gt;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id="__managed_style_0BE8D7C15B3F1466842C"&gt;
		&lt;Pair&gt;
			&lt;key&gt;normal&lt;/key&gt;
			&lt;styleUrl&gt;#__managed_style_187238A0ED3F1466842C&lt;/styleUrl&gt;
		&lt;/Pair&gt;
		&lt;Pair&gt;
			&lt;key&gt;highlight&lt;/key&gt;
			&lt;styleUrl&gt;#__managed_style_2B652B01F93F1466842C&lt;/styleUrl&gt;
		&lt;/Pair&gt;
	&lt;/StyleMap&gt;
	&lt;gx:CascadingStyle kml:id="__managed_style_2B652B01F93F1466842C"&gt;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kml:id="__managed_style_2F686AC8523F143C2F78"&gt;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&lt;/BalloonStyle&gt;
		&lt;/Style&gt;
	&lt;/gx:CascadingStyle&gt;
	&lt;gx:CascadingStyle kml:id="__managed_style_1E391ABE5E3F143C2F78"&gt;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&lt;/BalloonStyle&gt;
		&lt;/Style&gt;
	&lt;/gx:CascadingStyle&gt;
	&lt;StyleMap id="__managed_style_02D3BCB26D3F143C2F78"&gt;
		&lt;Pair&gt;
			&lt;key&gt;normal&lt;/key&gt;
			&lt;styleUrl&gt;#__managed_style_1E391ABE5E3F143C2F78&lt;/styleUrl&gt;
		&lt;/Pair&gt;
		&lt;Pair&gt;
			&lt;key&gt;highlight&lt;/key&gt;
			&lt;styleUrl&gt;#__managed_style_2F686AC8523F143C2F78&lt;/styleUrl&gt;
		&lt;/Pair&gt;
	&lt;/StyleMap&gt;
	&lt;GroundOverlay id="0339183A1C3F14168A8C"&gt;
		&lt;name&gt;Área político-administrativa (nível 2)&lt;/name&gt;
		&lt;LookAt&gt;
			&lt;longitude&gt;-105&lt;/longitude&gt;
			&lt;latitude&gt;44&lt;/latitude&gt;
			&lt;altitude&gt;0&lt;/altitude&gt;
			&lt;heading&gt;0&lt;/heading&gt;
			&lt;tilt&gt;0&lt;/tilt&gt;
			&lt;gx:fovy&gt;30&lt;/gx:fovy&gt;
			&lt;range&gt;10000000&lt;/range&gt;
			&lt;altitudeMode&gt;absolute&lt;/altitudeMode&gt;
		&lt;/LookAt&gt;
		&lt;styleUrl&gt;#__managed_style_02D3BCB26D3F143C2F78&lt;/styleUrl&gt;
		&lt;drawOrder&gt;5&lt;/drawOrder&gt;
		&lt;Icon&gt;
			&lt;href&gt;data:image/gif;base64,R0lGODlhAQABAIAAAP///wAAACH5BAEAAAAALAAAAAABAAEAAAICRAEAOw==&lt;/href&gt;
		&lt;/Icon&gt;
		&lt;LatLonBox&gt;
			&lt;north&gt;85&lt;/north&gt;
			&lt;south&gt;-85&lt;/south&gt;
			&lt;east&gt;180&lt;/east&gt;
			&lt;west&gt;-180&lt;/west&gt;
		&lt;/LatLonBox&gt;
		&lt;gx:MapTilePyramid&gt;
			&lt;Link&gt;
				&lt;href&gt;earthdatalayer:0:CAESJDkyNTU4MzMwLTM4ZmQtNDQxNC1hNTI4LTk2M2Y1NzYwMmQ1Ng&lt;/href&gt;
			&lt;/Link&gt;
			&lt;gx:minLevel&gt;0&lt;/gx:minLevel&gt;
			&lt;gx:maxLevel&gt;22&lt;/gx:maxLevel&gt;
		&lt;/gx:MapTilePyramid&gt;
	&lt;/GroundOverlay&gt;
	&lt;Placemark id="00E88433003F14668416"&gt;
		&lt;gx:mid&gt;/g/11c2m8ngz8&lt;/gx:mid&gt;
		&lt;gx:fid&gt;0x78e24d43659f5bb:0xba356446a7fee2c7&lt;/gx:fid&gt;
		&lt;LookAt&gt;
			&lt;longitude&gt;-42.7038726&lt;/longitude&gt;
			&lt;latitude&gt;-5.063113&lt;/latitude&gt;
			&lt;altitude&gt;0&lt;/altitude&gt;
			&lt;heading&gt;0&lt;/heading&gt;
			&lt;tilt&gt;0&lt;/tilt&gt;
			&lt;gx:fovy&gt;35&lt;/gx:fovy&gt;
			&lt;range&gt;1051.927501685069&lt;/range&gt;
			&lt;altitudeMode&gt;relativeToGround&lt;/altitudeMode&gt;
		&lt;/LookAt&gt;
		&lt;styleUrl&gt;#__managed_style_0BE8D7C15B3F1466842C&lt;/styleUrl&gt;
		&lt;Point&gt;
			&lt;altitudeMode&gt;relativeToGround&lt;/altitudeMode&gt;
			&lt;coordinates&gt;-42.7038726,-5.063113,0&lt;/coordinates&gt;
		&lt;/Point&gt;
	&lt;/Placemark&gt;
&lt;/Document&gt;
&lt;/kml&gt;</t>
  </si>
  <si>
    <t>REFORMA EMERGENCIAL PENITENCIARIA REGIONAL DE TERESINA IRMÃO GUIDO</t>
  </si>
  <si>
    <t>DISTRITO INDUSTRIAL</t>
  </si>
  <si>
    <t>EXECUÇÃO DOS SERVIÇOS DE 6.000 M² DE PAVIMENTAÇÃO EM PARALELEPÍPEDO NO ASSENTAMENTO EL SHADAY NO MUNICÍPIO DE TERESINA-PI.</t>
  </si>
  <si>
    <t>RURAL SUDESTE</t>
  </si>
  <si>
    <t>&lt;?xml version="1.0" encoding="UTF-8"?&gt;
&lt;kml xmlns="http://www.opengis.net/kml/2.2" xmlns:gx="http://www.google.com/kml/ext/2.2" xmlns:kml="http://www.opengis.net/kml/2.2" xmlns:atom="http://www.w3.org/2005/Atom"&gt;
&lt;Document&gt;
	&lt;name&gt;00114.000414_2021-94 _TERESINA 6.000M².kmz&lt;/name&gt;
	&lt;StyleMap id="m_ylw-pushpin"&gt;
		&lt;Pair&gt;
			&lt;key&gt;normal&lt;/key&gt;
			&lt;styleUrl&gt;#s_ylw-pushpin0&lt;/styleUrl&gt;
		&lt;/Pair&gt;
		&lt;Pair&gt;
			&lt;key&gt;highlight&lt;/key&gt;
			&lt;styleUrl&gt;#s_ylw-pushpin_hl&lt;/styleUrl&gt;
		&lt;/Pair&gt;
	&lt;/StyleMap&gt;
	&lt;StyleMap id="m_ylw-pushpin0"&gt;
		&lt;Pair&gt;
			&lt;key&gt;normal&lt;/key&gt;
			&lt;styleUrl&gt;#s_ylw-pushpin&lt;/styleUrl&gt;
		&lt;/Pair&gt;
		&lt;Pair&gt;
			&lt;key&gt;highlight&lt;/key&gt;
			&lt;styleUrl&gt;#s_ylw-pushpin_hl0&lt;/styleUrl&gt;
		&lt;/Pair&gt;
	&lt;/StyleMap&gt;
	&lt;Style id="s_ylw-pushpin"&gt;
		&lt;IconStyle&gt;
			&lt;scale&gt;1.1&lt;/scale&gt;
			&lt;Icon&gt;
				&lt;href&gt;http://maps.google.com/mapfiles/kml/pushpin/ylw-pushpin.png&lt;/href&gt;
			&lt;/Icon&gt;
			&lt;hotSpot x="20" y="2" xunits="pixels" yunits="pixels"/&gt;
		&lt;/IconStyle&gt;
		&lt;LineStyle&gt;
			&lt;color&gt;ff00ffff&lt;/color&gt;
			&lt;width&gt;8&lt;/width&gt;
		&lt;/LineStyle&gt;
	&lt;/Style&gt;
	&lt;Style id="s_ylw-pushpin0"&gt;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&lt;Style id="s_ylw-pushpin_hl0"&gt;
		&lt;IconStyle&gt;
			&lt;scale&gt;1.3&lt;/scale&gt;
			&lt;Icon&gt;
				&lt;href&gt;http://maps.google.com/mapfiles/kml/pushpin/ylw-pushpin.png&lt;/href&gt;
			&lt;/Icon&gt;
			&lt;hotSpot x="20" y="2" xunits="pixels" yunits="pixels"/&gt;
		&lt;/IconStyle&gt;
		&lt;LineStyle&gt;
			&lt;color&gt;ff00ffff&lt;/color&gt;
			&lt;width&gt;8&lt;/width&gt;
		&lt;/LineStyle&gt;
	&lt;/Style&gt;
	&lt;Folder&gt;
		&lt;name&gt;Lugares temporários&lt;/name&gt;
		&lt;open&gt;1&lt;/open&gt;
		&lt;Placemark&gt;
			&lt;name&gt;TRECHO 1 - INÍCIO&lt;/name&gt;
			&lt;LookAt&gt;
				&lt;longitude&gt;-41.60832766250128&lt;/longitude&gt;
				&lt;latitude&gt;-4.821464770346228&lt;/latitude&gt;
				&lt;altitude&gt;0&lt;/altitude&gt;
				&lt;heading&gt;-1.808756294750947&lt;/heading&gt;
				&lt;tilt&gt;0&lt;/tilt&gt;
				&lt;range&gt;1060830.900065117&lt;/range&gt;
				&lt;gx:altitudeMode&gt;relativeToSeaFloor&lt;/gx:altitudeMode&gt;
			&lt;/LookAt&gt;
			&lt;styleUrl&gt;#m_ylw-pushpin&lt;/styleUrl&gt;
			&lt;Point&gt;
				&lt;gx:drawOrder&gt;1&lt;/gx:drawOrder&gt;
				&lt;coordinates&gt;-42.700839,-5.053346,0&lt;/coordinates&gt;
			&lt;/Point&gt;
		&lt;/Placemark&gt;
		&lt;Placemark&gt;
			&lt;name&gt;TRECHO 1 - FINAL&lt;/name&gt;
			&lt;LookAt&gt;
				&lt;longitude&gt;-42.69580548697429&lt;/longitude&gt;
				&lt;latitude&gt;-5.052422641347128&lt;/latitude&gt;
				&lt;altitude&gt;0&lt;/altitude&gt;
				&lt;heading&gt;-3.717205941678906e-05&lt;/heading&gt;
				&lt;tilt&gt;0&lt;/tilt&gt;
				&lt;range&gt;1452.481676772015&lt;/range&gt;
				&lt;gx:altitudeMode&gt;relativeToSeaFloor&lt;/gx:altitudeMode&gt;
			&lt;/LookAt&gt;
			&lt;styleUrl&gt;#m_ylw-pushpin&lt;/styleUrl&gt;
			&lt;Point&gt;
				&lt;gx:drawOrder&gt;1&lt;/gx:drawOrder&gt;
				&lt;coordinates&gt;-42.700338,-5.051291,0&lt;/coordinates&gt;
			&lt;/Point&gt;
		&lt;/Placemark&gt;
		&lt;Placemark&gt;
			&lt;name&gt;TRECHO 1&lt;/name&gt;
			&lt;styleUrl&gt;#m_ylw-pushpin0&lt;/styleUrl&gt;
			&lt;LineString&gt;
				&lt;tessellate&gt;1&lt;/tessellate&gt;
				&lt;coordinates&gt;
					-42.70039991583146,-5.051299795343203,0 -42.70045392788911,-5.051554191836262,0 -42.7004712135769,-5.051672514565624,0 -42.70052308388153,-5.051806853705277,0 -42.70057910378667,-5.051974261008484,0 -42.70064216713298,-5.052106634249502,0 -42.70070648677821,-5.052247174048806,0 -42.70077288112962,-5.05241664819041,0 -42.70083927535521,-5.052610923235361,0 -42.70087039763015,-5.052728728292469,0 -42.7008911457922,-5.0528486001619,0 -42.70090359465055,-5.05298087263651,0 -42.70088907075313,-5.053158614166919,0 -42.70086695140397,-5.053256047998152,0 -42.70083582907474,-5.053340785084339,0 
				&lt;/coordinates&gt;
			&lt;/LineString&gt;
		&lt;/Placemark&gt;
		&lt;Placemark&gt;
			&lt;name&gt;TRECHO 02 - P1&lt;/name&gt;
			&lt;LookAt&gt;
				&lt;longitude&gt;-42.7010618338209&lt;/longitude&gt;
				&lt;latitude&gt;-5.05070426234133&lt;/latitude&gt;
				&lt;altitude&gt;0&lt;/altitude&gt;
				&lt;heading&gt;-96.16319530412399&lt;/heading&gt;
				&lt;tilt&gt;3.022037147687747&lt;/tilt&gt;
				&lt;range&gt;811.5392731875804&lt;/range&gt;
				&lt;gx:altitudeMode&gt;relativeToSeaFloor&lt;/gx:altitudeMode&gt;
			&lt;/LookAt&gt;
			&lt;styleUrl&gt;#m_ylw-pushpin&lt;/styleUrl&gt;
			&lt;Point&gt;
				&lt;gx:drawOrder&gt;1&lt;/gx:drawOrder&gt;
				&lt;coordinates&gt;-42.69677582068933,-5.047774276150566,0&lt;/coordinates&gt;
			&lt;/Point&gt;
		&lt;/Placemark&gt;
		&lt;Placemark&gt;
			&lt;name&gt;TRECHO 2 - P2&lt;/name&gt;
			&lt;LookAt&gt;
				&lt;longitude&gt;-42.69884491576021&lt;/longitude&gt;
				&lt;latitude&gt;-5.048242993289368&lt;/latitude&gt;
				&lt;altitude&gt;0&lt;/altitude&gt;
				&lt;heading&gt;-96.1635827061023&lt;/heading&gt;
				&lt;tilt&gt;11.46175051125087&lt;/tilt&gt;
				&lt;range&gt;1574.140274988295&lt;/range&gt;
				&lt;gx:altitudeMode&gt;relativeToSeaFloor&lt;/gx:altitudeMode&gt;
			&lt;/LookAt&gt;
			&lt;styleUrl&gt;#m_ylw-pushpin&lt;/styleUrl&gt;
			&lt;Point&gt;
				&lt;gx:drawOrder&gt;1&lt;/gx:drawOrder&gt;
				&lt;coordinates&gt;-42.69647835322918,-5.047773220446704,0&lt;/coordinates&gt;
			&lt;/Point&gt;
		&lt;/Placemark&gt;
		&lt;Placemark&gt;
			&lt;name&gt;TRECHO 02 - P3&lt;/name&gt;
			&lt;LookAt&gt;
				&lt;longitude&gt;-42.69750275644188&lt;/longitude&gt;
				&lt;latitude&gt;-5.047422451650543&lt;/latitude&gt;
				&lt;altitude&gt;0&lt;/altitude&gt;
				&lt;heading&gt;-96.16400428861104&lt;/heading&gt;
				&lt;tilt&gt;21.00869255912079&lt;/tilt&gt;
				&lt;range&gt;728.6962385073793&lt;/range&gt;
				&lt;gx:altitudeMode&gt;relativeToSeaFloor&lt;/gx:altitudeMode&gt;
			&lt;/LookAt&gt;
			&lt;styleUrl&gt;#m_ylw-pushpin&lt;/styleUrl&gt;
			&lt;Point&gt;
				&lt;gx:drawOrder&gt;1&lt;/gx:drawOrder&gt;
				&lt;coordinates&gt;-42.69604560957899,-5.047789763132128,0&lt;/coordinates&gt;
			&lt;/Point&gt;
		&lt;/Placemark&gt;
		&lt;Placemark&gt;
			&lt;name&gt;TRECHO 02 - P4&lt;/name&gt;
			&lt;LookAt&gt;
				&lt;longitude&gt;-42.69752971046872&lt;/longitude&gt;
				&lt;latitude&gt;-5.047352214613717&lt;/latitude&gt;
				&lt;altitude&gt;0&lt;/altitude&gt;
				&lt;heading&gt;-96.1640019175878&lt;/heading&gt;
				&lt;tilt&gt;21.00869255912058&lt;/tilt&gt;
				&lt;range&gt;728.6962385048785&lt;/range&gt;
				&lt;gx:altitudeMode&gt;relativeToSeaFloor&lt;/gx:altitudeMode&gt;
			&lt;/LookAt&gt;
			&lt;styleUrl&gt;#m_ylw-pushpin&lt;/styleUrl&gt;
			&lt;Point&gt;
				&lt;gx:drawOrder&gt;1&lt;/gx:drawOrder&gt;
				&lt;coordinates&gt;-42.69568504314628,-5.047788483064222,0&lt;/coordinates&gt;
			&lt;/Point&gt;
		&lt;/Placemark&gt;
		&lt;Placemark&gt;
			&lt;name&gt;TRECHO 02&lt;/name&gt;
			&lt;styleUrl&gt;#m_ylw-pushpin0&lt;/styleUrl&gt;
			&lt;LineString&gt;
				&lt;tessellate&gt;1&lt;/tessellate&gt;
				&lt;coordinates&gt;
					-42.69677167210722,-5.047768832596317,0 -42.69649611189018,-5.04777506707536,0 -42.69630137635225,-5.047789962556591,0 -42.69605468894039,-5.047788142816567,0 -42.69568650536805,-5.047782141305018,0 
				&lt;/coordinates&gt;
			&lt;/LineString&gt;
		&lt;/Placemark&gt;
		&lt;Placemark&gt;
			&lt;name&gt;TRECHO 03 - P1&lt;/name&gt;
			&lt;LookAt&gt;
				&lt;longitude&gt;-42.69885316200562&lt;/longitude&gt;
				&lt;latitude&gt;-5.048935913207767&lt;/latitude&gt;
				&lt;altitude&gt;0&lt;/altitude&gt;
				&lt;heading&gt;-96.16403737084713&lt;/heading&gt;
				&lt;tilt&gt;28.84136211570411&lt;/tilt&gt;
				&lt;range&gt;1587.942651833224&lt;/range&gt;
				&lt;gx:altitudeMode&gt;relativeToSeaFloor&lt;/gx:altitudeMode&gt;
			&lt;/LookAt&gt;
			&lt;styleUrl&gt;#m_ylw-pushpin&lt;/styleUrl&gt;
			&lt;Point&gt;
				&lt;gx:drawOrder&gt;1&lt;/gx:drawOrder&gt;
				&lt;coordinates&gt;-42.68595860631808,-5.047808112919578,0&lt;/coordinates&gt;
			&lt;/Point&gt;
		&lt;/Placemark&gt;
		&lt;Placemark&gt;
			&lt;name&gt;TRECHO 03 - P2&lt;/name&gt;
			&lt;LookAt&gt;
				&lt;longitude&gt;-42.69258222178096&lt;/longitude&gt;
				&lt;latitude&gt;-5.043219524142319&lt;/latitude&gt;
				&lt;altitude&gt;0&lt;/altitude&gt;
				&lt;heading&gt;-96.16458979048113&lt;/heading&gt;
				&lt;tilt&gt;28.85028146213&lt;/tilt&gt;
				&lt;range&gt;3646.696747564946&lt;/range&gt;
				&lt;gx:altitudeMode&gt;relativeToSeaFloor&lt;/gx:altitudeMode&gt;
			&lt;/LookAt&gt;
			&lt;styleUrl&gt;#m_ylw-pushpin&lt;/styleUrl&gt;
			&lt;Point&gt;
				&lt;gx:drawOrder&gt;1&lt;/gx:drawOrder&gt;
				&lt;coordinates&gt;-42.68523738249831,-5.047832658911412,0&lt;/coordinates&gt;
			&lt;/Point&gt;
		&lt;/Placemark&gt;
		&lt;Placemark&gt;
			&lt;name&gt;TRECHO 03 - P3&lt;/name&gt;
			&lt;LookAt&gt;
				&lt;longitude&gt;-42.69258222178096&lt;/longitude&gt;
				&lt;latitude&gt;-5.043219524142319&lt;/latitude&gt;
				&lt;altitude&gt;0&lt;/altitude&gt;
				&lt;heading&gt;-96.16458979048113&lt;/heading&gt;
				&lt;tilt&gt;28.85028146213&lt;/tilt&gt;
				&lt;range&gt;3646.696747564946&lt;/range&gt;
				&lt;gx:altitudeMode&gt;relativeToSeaFloor&lt;/gx:altitudeMode&gt;
			&lt;/LookAt&gt;
			&lt;styleUrl&gt;#m_ylw-pushpin&lt;/styleUrl&gt;
			&lt;Point&gt;
				&lt;gx:drawOrder&gt;1&lt;/gx:drawOrder&gt;
				&lt;coordinates&gt;-42.68720252033705,-5.047821586150786,0&lt;/coordinates&gt;
			&lt;/Point&gt;
		&lt;/Placemark&gt;
		&lt;Placemark&gt;
			&lt;name&gt;TRECHO 03 - P4&lt;/name&gt;
			&lt;LookAt&gt;
				&lt;longitude&gt;-42.68786203618479&lt;/longitude&gt;
				&lt;latitude&gt;-5.045996094906783&lt;/latitude&gt;
				&lt;altitude&gt;0&lt;/altitude&gt;
				&lt;heading&gt;-96.16523050034228&lt;/heading&gt;
				&lt;tilt&gt;30.00583058678921&lt;/tilt&gt;
				&lt;range&gt;1298.113858318662&lt;/range&gt;
				&lt;gx:altitudeMode&gt;relativeToSeaFloor&lt;/gx:altitudeMode&gt;
			&lt;/LookAt&gt;
			&lt;styleUrl&gt;#m_ylw-pushpin&lt;/styleUrl&gt;
			&lt;Point&gt;
				&lt;gx:drawOrder&gt;1&lt;/gx:drawOrder&gt;
				&lt;coordinates&gt;-42.68840149299255,-5.047798739693105,0&lt;/coordinates&gt;
			&lt;/Point&gt;
		&lt;/Placemark&gt;
		&lt;Placemark&gt;
			&lt;name&gt;TRECHO 03 - P5&lt;/name&gt;
			&lt;LookAt&gt;
				&lt;longitude&gt;-42.68786203618479&lt;/longitude&gt;
				&lt;latitude&gt;-5.045996094906783&lt;/latitude&gt;
				&lt;altitude&gt;0&lt;/altitude&gt;
				&lt;heading&gt;-96.16523050034228&lt;/heading&gt;
				&lt;tilt&gt;30.00583058678921&lt;/tilt&gt;
				&lt;range&gt;1298.113858318662&lt;/range&gt;
				&lt;gx:altitudeMode&gt;relativeToSeaFloor&lt;/gx:altitudeMode&gt;
			&lt;/LookAt&gt;
			&lt;styleUrl&gt;#m_ylw-pushpin&lt;/styleUrl&gt;
			&lt;Point&gt;
				&lt;gx:drawOrder&gt;1&lt;/gx:drawOrder&gt;
				&lt;coordinates&gt;-42.69105177273295,-5.047772016404807,0&lt;/coordinates&gt;
			&lt;/Point&gt;
		&lt;/Placemark&gt;
		&lt;Placemark&gt;
			&lt;name&gt;TRECHO 3&lt;/name&gt;
			&lt;styleUrl&gt;#m_ylw-pushpin0&lt;/styleUrl&gt;
			&lt;LineString&gt;
				&lt;tessellate&gt;1&lt;/tessellate&gt;
				&lt;coordinates&gt;
					-42.69104781037608,-5.047771992130348,0 -42.6905031177811,-5.047769253165415,0 -42.68934514186864,-5.047805487710505,0 -42.6884016312723,-5.047817087770872,0 -42.6871801425597,-5.047825988199592,0 -42.68596647575718,-5.047803565895107,0 -42.68523824286735,-5.047797948058095,0 
				&lt;/coordinates&gt;
			&lt;/LineString&gt;
		&lt;/Placemark&gt;
		&lt;atom:link rel="app" href="https://www.google.com/earth/about/versions/#earth-pro" title="Google Earth Pro 7.3.7.1155"&gt;&lt;/atom:link&gt;
	&lt;/Folder&gt;
&lt;/Document&gt;
&lt;/kml&gt;</t>
  </si>
  <si>
    <t>PAVIMENTAÇÃO EM PARALELEPÍPEDO MUNICÍPIO: TERESINA – PI LOCAL: RUA BALTAZAR RIBEIRO BATISTA BAIRRO FLOR DO CAMPO (ZONA URBANA) ▪ ÁREA TOTAL: 2.856,00 M²</t>
  </si>
  <si>
    <t>FLOR DO CAMPO</t>
  </si>
  <si>
    <t>PAVIMENTAÇÃO EM PARALELEPÍPEDO DE 4.500,00 M² DE VIAS NO MUNICÍPIO DE TERESINA - PI</t>
  </si>
  <si>
    <t>FLOR DO CAMPO,TODOS OS SANTOS</t>
  </si>
  <si>
    <t>&lt;?xml version="1.0" encoding="UTF-8"?&gt;
&lt;kml xmlns="http://www.opengis.net/kml/2.2" xmlns:gx="http://www.google.com/kml/ext/2.2" xmlns:kml="http://www.opengis.net/kml/2.2" xmlns:atom="http://www.w3.org/2005/Atom"&gt;
&lt;Document&gt;
	&lt;name&gt;PAVIMENTAÇÃO EM PARALELEPÍPEDO - TERESINA - 4500 M².kmz&lt;/name&gt;
	&lt;StyleMap id="m_ylw-pushpin"&gt;
		&lt;Pair&gt;
			&lt;key&gt;normal&lt;/key&gt;
			&lt;styleUrl&gt;#s_ylw-pushpin0&lt;/styleUrl&gt;
		&lt;/Pair&gt;
		&lt;Pair&gt;
			&lt;key&gt;highlight&lt;/key&gt;
			&lt;styleUrl&gt;#s_ylw-pushpin_hl0&lt;/styleUrl&gt;
		&lt;/Pair&gt;
	&lt;/StyleMap&gt;
	&lt;StyleMap id="m_ylw-pushpin0"&gt;
		&lt;Pair&gt;
			&lt;key&gt;normal&lt;/key&gt;
			&lt;styleUrl&gt;#s_ylw-pushpin&lt;/styleUrl&gt;
		&lt;/Pair&gt;
		&lt;Pair&gt;
			&lt;key&gt;highlight&lt;/key&gt;
			&lt;styleUrl&gt;#s_ylw-pushpin_hl&lt;/styleUrl&gt;
		&lt;/Pair&gt;
	&lt;/StyleMap&gt;
	&lt;Style id="s_ylw-pushpin"&gt;
		&lt;IconStyle&gt;
			&lt;color&gt;ff0000ff&lt;/color&gt;
			&lt;scale&gt;1.1&lt;/scale&gt;
			&lt;Icon&gt;
				&lt;href&gt;http://maps.google.com/mapfiles/kml/paddle/red-stars.png&lt;/href&gt;
			&lt;/Icon&gt;
			&lt;hotSpot x="32" y="1" xunits="pixels" yunits="pixels"/&gt;
		&lt;/IconStyle&gt;
		&lt;LabelStyle&gt;
			&lt;color&gt;ff00ffff&lt;/color&gt;
		&lt;/LabelStyle&gt;
		&lt;ListStyle&gt;
			&lt;ItemIcon&gt;
				&lt;href&gt;http://maps.google.com/mapfiles/kml/paddle/red-stars-lv.png&lt;/href&gt;
			&lt;/ItemIcon&gt;
		&lt;/ListStyle&gt;
	&lt;/Style&gt;
	&lt;Style id="s_ylw-pushpin0"&gt;
		&lt;IconStyle&gt;
			&lt;scale&gt;1.1&lt;/scale&gt;
			&lt;Icon&gt;
				&lt;href&gt;http://maps.google.com/mapfiles/kml/pushpin/ylw-pushpin.png&lt;/href&gt;
			&lt;/Icon&gt;
			&lt;hotSpot x="20" y="2" xunits="pixels" yunits="pixels"/&gt;
		&lt;/IconStyle&gt;
		&lt;LineStyle&gt;
			&lt;color&gt;ffff0000&lt;/color&gt;
			&lt;width&gt;5&lt;/width&gt;
		&lt;/LineStyle&gt;
	&lt;/Style&gt;
	&lt;Style id="s_ylw-pushpin_hl"&gt;
		&lt;IconStyle&gt;
			&lt;color&gt;ff0000ff&lt;/color&gt;
			&lt;scale&gt;1.3&lt;/scale&gt;
			&lt;Icon&gt;
				&lt;href&gt;http://maps.google.com/mapfiles/kml/paddle/red-stars.png&lt;/href&gt;
			&lt;/Icon&gt;
			&lt;hotSpot x="32" y="1" xunits="pixels" yunits="pixels"/&gt;
		&lt;/IconStyle&gt;
		&lt;LabelStyle&gt;
			&lt;color&gt;ff00ffff&lt;/color&gt;
		&lt;/LabelStyle&gt;
		&lt;ListStyle&gt;
			&lt;ItemIcon&gt;
				&lt;href&gt;http://maps.google.com/mapfiles/kml/paddle/red-stars-lv.png&lt;/href&gt;
			&lt;/ItemIcon&gt;
		&lt;/ListStyle&gt;
	&lt;/Style&gt;
	&lt;Style id="s_ylw-pushpin_hl0"&gt;
		&lt;IconStyle&gt;
			&lt;scale&gt;1.3&lt;/scale&gt;
			&lt;Icon&gt;
				&lt;href&gt;http://maps.google.com/mapfiles/kml/pushpin/ylw-pushpin.png&lt;/href&gt;
			&lt;/Icon&gt;
			&lt;hotSpot x="20" y="2" xunits="pixels" yunits="pixels"/&gt;
		&lt;/IconStyle&gt;
		&lt;LineStyle&gt;
			&lt;color&gt;ffff0000&lt;/color&gt;
			&lt;width&gt;5&lt;/width&gt;
		&lt;/LineStyle&gt;
	&lt;/Style&gt;
	&lt;Folder&gt;
		&lt;name&gt;PAVIMENTAÇÃO EM PARALELEPÍPEDO - TERESINA - 4500 M²&lt;/name&gt;
		&lt;open&gt;1&lt;/open&gt;
		&lt;Placemark&gt;
			&lt;name&gt;INÍCIO&lt;/name&gt;
			&lt;LookAt&gt;
				&lt;longitude&gt;-42.71786912352491&lt;/longitude&gt;
				&lt;latitude&gt;-5.106288421276785&lt;/latitude&gt;
				&lt;altitude&gt;0&lt;/altitude&gt;
				&lt;heading&gt;-3.260441567377478&lt;/heading&gt;
				&lt;tilt&gt;30.00095132752576&lt;/tilt&gt;
				&lt;range&gt;211.3923763477513&lt;/range&gt;
				&lt;gx:altitudeMode&gt;relativeToSeaFloor&lt;/gx:altitudeMode&gt;
			&lt;/LookAt&gt;
			&lt;styleUrl&gt;#m_ylw-pushpin0&lt;/styleUrl&gt;
			&lt;Point&gt;
				&lt;gx:drawOrder&gt;1&lt;/gx:drawOrder&gt;
				&lt;coordinates&gt;-42.71814976671305,-5.106962488790935,0&lt;/coordinates&gt;
			&lt;/Point&gt;
		&lt;/Placemark&gt;
		&lt;Placemark&gt;
			&lt;name&gt;FIM&lt;/name&gt;
			&lt;LookAt&gt;
				&lt;longitude&gt;-42.71204103435773&lt;/longitude&gt;
				&lt;latitude&gt;-5.106096550438461&lt;/latitude&gt;
				&lt;altitude&gt;0&lt;/altitude&gt;
				&lt;heading&gt;-3.26324217678566&lt;/heading&gt;
				&lt;tilt&gt;9.55235322601439&lt;/tilt&gt;
				&lt;range&gt;1885.365598878084&lt;/range&gt;
				&lt;gx:altitudeMode&gt;relativeToSeaFloor&lt;/gx:altitudeMode&gt;
			&lt;/LookAt&gt;
			&lt;styleUrl&gt;#m_ylw-pushpin0&lt;/styleUrl&gt;
			&lt;Point&gt;
				&lt;gx:drawOrder&gt;1&lt;/gx:drawOrder&gt;
				&lt;coordinates&gt;-42.711606,-5.105269,0&lt;/coordinates&gt;
			&lt;/Point&gt;
		&lt;/Placemark&gt;
		&lt;Placemark&gt;
			&lt;name&gt;RUA BALTAZAR RIBEIRO BATISTA - 750 m x 6 m&lt;/name&gt;
			&lt;styleUrl&gt;#m_ylw-pushpin&lt;/styleUrl&gt;
			&lt;LineString&gt;
				&lt;tessellate&gt;1&lt;/tessellate&gt;
				&lt;coordinates&gt;
					-42.71815638729596,-5.106953158366917,0 -42.71625009534206,-5.106421592150734,0 -42.71508209032183,-5.106111478370095,0 -42.71431689754276,-5.105950487761105,0 -42.71390121863823,-5.105825528378927,0 -42.71219365834256,-5.105403403831554,0 -42.71160497307554,-5.105283015743359,0 
				&lt;/coordinates&gt;
			&lt;/LineString&gt;
		&lt;/Placemark&gt;
		&lt;atom:link rel="app" href="https://www.google.com/earth/about/versions/#earth-pro" title="Google Earth Pro 7.3.6.10201"&gt;&lt;/atom:link&gt;
	&lt;/Folder&gt;
&lt;/Document&gt;
&lt;/kml&gt;</t>
  </si>
  <si>
    <t>EXECUÇÃO DOS SERVIÇOS DE IMPLANTAÇÃO DE GALERIA DE MACRODRENAGEM NA MARGEM ESQUERDA DA RODOVIA FEDERAL BR-343 (TRECHO KM 339,87 AO KM 340,83)</t>
  </si>
  <si>
    <t>&lt;?xml version="1.0" encoding="UTF-8"?&gt;
&lt;kml xmlns="http://www.opengis.net/kml/2.2" xmlns:gx="http://www.google.com/kml/ext/2.2" xmlns:kml="http://www.opengis.net/kml/2.2" xmlns:atom="http://www.w3.org/2005/Atom"&gt;
&lt;Document&gt;
	&lt;name&gt;EXECUÇÃO DOS SERVIÇOS DE IMPLANTAÇÃO DE GALERIA DE MACRODRENAGEM NA MARGEM ESQUERDA DA RODOVIA FEDERAL BR-343 (TRECHO KM 339,87 .kml&lt;/name&gt;
	&lt;StyleMap id="msn_ylw-pushpin"&gt;
		&lt;Pair&gt;
			&lt;key&gt;normal&lt;/key&gt;
			&lt;styleUrl&gt;#sn_ylw-pushpin&lt;/styleUrl&gt;
		&lt;/Pair&gt;
		&lt;Pair&gt;
			&lt;key&gt;highlight&lt;/key&gt;
			&lt;styleUrl&gt;#sh_ylw-pushpin&lt;/styleUrl&gt;
		&lt;/Pair&gt;
	&lt;/StyleMap&gt;
	&lt;Style id="sh_ylw-pushpin"&gt;
		&lt;IconStyle&gt;
			&lt;scale&gt;1.3&lt;/scale&gt;
			&lt;Icon&gt;
				&lt;href&gt;http://maps.google.com/mapfiles/kml/pushpin/ylw-pushpin.png&lt;/href&gt;
			&lt;/Icon&gt;
			&lt;hotSpot x="20" y="2" xunits="pixels" yunits="pixels"/&gt;
		&lt;/IconStyle&gt;
		&lt;BalloonStyle&gt;
		&lt;/BalloonStyle&gt;
		&lt;LineStyle&gt;
			&lt;width&gt;10&lt;/width&gt;
		&lt;/LineStyle&gt;
	&lt;/Style&gt;
	&lt;Style id="sn_ylw-pushpin"&gt;
		&lt;IconStyle&gt;
			&lt;scale&gt;1.1&lt;/scale&gt;
			&lt;Icon&gt;
				&lt;href&gt;http://maps.google.com/mapfiles/kml/pushpin/ylw-pushpin.png&lt;/href&gt;
			&lt;/Icon&gt;
			&lt;hotSpot x="20" y="2" xunits="pixels" yunits="pixels"/&gt;
		&lt;/IconStyle&gt;
		&lt;BalloonStyle&gt;
		&lt;/BalloonStyle&gt;
		&lt;LineStyle&gt;
			&lt;width&gt;10&lt;/width&gt;
		&lt;/LineStyle&gt;
	&lt;/Style&gt;
	&lt;Placemark&gt;
		&lt;name&gt;EXECUÇÃO DOS SERVIÇOS DE IMPLANTAÇÃO DE GALERIA DE MACRODRENAGEM NA MARGEM ESQUERDA DA RODOVIA FEDERAL BR-343 (TRECHO KM 339,87 AO KM 340,83)&lt;/name&gt;
		&lt;styleUrl&gt;#msn_ylw-pushpin&lt;/styleUrl&gt;
		&lt;LineString&gt;
			&lt;tessellate&gt;1&lt;/tessellate&gt;
			&lt;coordinates&gt;
				-42.74113846163529,-5.077205894465434,0 -42.74278279095449,-5.077866683065051,0 
			&lt;/coordinates&gt;
		&lt;/LineString&gt;
		&lt;atom:link rel="app" href="https://www.google.com/earth/about/versions/#earth-pro" title="Google Earth Pro 7.3.7.1155"&gt;&lt;/atom:link&gt;
	&lt;/Placemark&gt;
&lt;/Document&gt;
&lt;/kml&gt;</t>
  </si>
  <si>
    <t>PAVIMENTAÇÃO EM PARALELEPÍPEDO DE 3.429,45 M² NA ZONA URBANA E RURAL DO MUNICÍPIO DE TERESINA – PI. 111/2024</t>
  </si>
  <si>
    <t>GURUPI,URUGUAI,PORTO DO CENTRO</t>
  </si>
  <si>
    <t>SUDESTE,LESTE</t>
  </si>
  <si>
    <t>&lt;?xml version="1.0" encoding="UTF-8"?&gt;
&lt;kml xmlns="http://www.opengis.net/kml/2.2" xmlns:gx="http://www.google.com/kml/ext/2.2" xmlns:kml="http://www.opengis.net/kml/2.2" xmlns:atom="http://www.w3.org/2005/Atom"&gt;
&lt;Document&gt;
	&lt;name&gt;ANABEL.kmz&lt;/name&gt;
	&lt;StyleMap id="m_ylw-pushpin000"&gt;
		&lt;Pair&gt;
			&lt;key&gt;normal&lt;/key&gt;
			&lt;styleUrl&gt;#s_ylw-pushpin033&lt;/styleUrl&gt;
		&lt;/Pair&gt;
		&lt;Pair&gt;
			&lt;key&gt;highlight&lt;/key&gt;
			&lt;styleUrl&gt;#s_ylw-pushpin_hl08&lt;/styleUrl&gt;
		&lt;/Pair&gt;
	&lt;/StyleMap&gt;
	&lt;StyleMap id="m_ylw-pushpin11"&gt;
		&lt;Pair&gt;
			&lt;key&gt;normal&lt;/key&gt;
			&lt;styleUrl&gt;#s_ylw-pushpin81&lt;/styleUrl&gt;
		&lt;/Pair&gt;
		&lt;Pair&gt;
			&lt;key&gt;highlight&lt;/key&gt;
			&lt;styleUrl&gt;#s_ylw-pushpin_hl012&lt;/styleUrl&gt;
		&lt;/Pair&gt;
	&lt;/StyleMap&gt;
	&lt;StyleMap id="msn_ylw-pushpin006"&gt;
		&lt;Pair&gt;
			&lt;key&gt;normal&lt;/key&gt;
			&lt;styleUrl&gt;#sn_ylw-pushpin106&lt;/styleUrl&gt;
		&lt;/Pair&gt;
		&lt;Pair&gt;
			&lt;key&gt;highlight&lt;/key&gt;
			&lt;styleUrl&gt;#sh_ylw-pushpin705&lt;/styleUrl&gt;
		&lt;/Pair&gt;
	&lt;/StyleMap&gt;
	&lt;StyleMap id="msn_ylw-pushpin1004"&gt;
		&lt;Pair&gt;
			&lt;key&gt;normal&lt;/key&gt;
			&lt;styleUrl&gt;#sn_ylw-pushpin051&lt;/styleUrl&gt;
		&lt;/Pair&gt;
		&lt;Pair&gt;
			&lt;key&gt;highlight&lt;/key&gt;
			&lt;styleUrl&gt;#sh_ylw-pushpin93&lt;/styleUrl&gt;
		&lt;/Pair&gt;
	&lt;/StyleMap&gt;
	&lt;StyleMap id="msn_ylw-pushpin312"&gt;
		&lt;Pair&gt;
			&lt;key&gt;normal&lt;/key&gt;
			&lt;styleUrl&gt;#sn_ylw-pushpin23&lt;/styleUrl&gt;
		&lt;/Pair&gt;
		&lt;Pair&gt;
			&lt;key&gt;highlight&lt;/key&gt;
			&lt;styleUrl&gt;#sh_ylw-pushpin41&lt;/styleUrl&gt;
		&lt;/Pair&gt;
	&lt;/StyleMap&gt;
	&lt;StyleMap id="msn_ylw-pushpin411"&gt;
		&lt;Pair&gt;
			&lt;key&gt;normal&lt;/key&gt;
			&lt;styleUrl&gt;#sn_ylw-pushpin55&lt;/styleUrl&gt;
		&lt;/Pair&gt;
		&lt;Pair&gt;
			&lt;key&gt;highlight&lt;/key&gt;
			&lt;styleUrl&gt;#sh_ylw-pushpin600&lt;/styleUrl&gt;
		&lt;/Pair&gt;
	&lt;/StyleMap&gt;
	&lt;StyleMap id="msn_ylw-pushpin49"&gt;
		&lt;Pair&gt;
			&lt;key&gt;normal&lt;/key&gt;
			&lt;styleUrl&gt;#sn_ylw-pushpin411&lt;/styleUrl&gt;
		&lt;/Pair&gt;
		&lt;Pair&gt;
			&lt;key&gt;highlight&lt;/key&gt;
			&lt;styleUrl&gt;#sh_ylw-pushpin06&lt;/styleUrl&gt;
		&lt;/Pair&gt;
	&lt;/StyleMap&gt;
	&lt;StyleMap id="msn_ylw-pushpin8"&gt;
		&lt;Pair&gt;
			&lt;key&gt;normal&lt;/key&gt;
			&lt;styleUrl&gt;#sn_ylw-pushpin5&lt;/styleUrl&gt;
		&lt;/Pair&gt;
		&lt;Pair&gt;
			&lt;key&gt;highlight&lt;/key&gt;
			&lt;styleUrl&gt;#sh_ylw-pushpin1&lt;/styleUrl&gt;
		&lt;/Pair&gt;
	&lt;/StyleMap&gt;
	&lt;Style id="s_ylw-pushpin033"&gt;
		&lt;IconStyle&gt;
			&lt;scale&gt;1.1&lt;/scale&gt;
			&lt;Icon&gt;
				&lt;href&gt;http://maps.google.com/mapfiles/kml/pushpin/ylw-pushpin.png&lt;/href&gt;
			&lt;/Icon&gt;
			&lt;hotSpot x="20" y="2" xunits="pixels" yunits="pixels"/&gt;
		&lt;/IconStyle&gt;
		&lt;LineStyle&gt;
			&lt;color&gt;ffff0000&lt;/color&gt;
			&lt;width&gt;6&lt;/width&gt;
		&lt;/LineStyle&gt;
	&lt;/Style&gt;
	&lt;Style id="s_ylw-pushpin81"&gt;
		&lt;IconStyle&gt;
			&lt;scale&gt;1.1&lt;/scale&gt;
			&lt;Icon&gt;
				&lt;href&gt;http://maps.google.com/mapfiles/kml/pushpin/ylw-pushpin.png&lt;/href&gt;
			&lt;/Icon&gt;
			&lt;hotSpot x="20" y="2" xunits="pixels" yunits="pixels"/&gt;
		&lt;/IconStyle&gt;
	&lt;/Style&gt;
	&lt;Style id="s_ylw-pushpin_hl012"&gt;
		&lt;IconStyle&gt;
			&lt;scale&gt;1.3&lt;/scale&gt;
			&lt;Icon&gt;
				&lt;href&gt;http://maps.google.com/mapfiles/kml/pushpin/ylw-pushpin.png&lt;/href&gt;
			&lt;/Icon&gt;
			&lt;hotSpot x="20" y="2" xunits="pixels" yunits="pixels"/&gt;
		&lt;/IconStyle&gt;
	&lt;/Style&gt;
	&lt;Style id="s_ylw-pushpin_hl08"&gt;
		&lt;IconStyle&gt;
			&lt;scale&gt;1.3&lt;/scale&gt;
			&lt;Icon&gt;
				&lt;href&gt;http://maps.google.com/mapfiles/kml/pushpin/ylw-pushpin.png&lt;/href&gt;
			&lt;/Icon&gt;
			&lt;hotSpot x="20" y="2" xunits="pixels" yunits="pixels"/&gt;
		&lt;/IconStyle&gt;
		&lt;LineStyle&gt;
			&lt;color&gt;ffff0000&lt;/color&gt;
			&lt;width&gt;6&lt;/width&gt;
		&lt;/LineStyle&gt;
	&lt;/Style&gt;
	&lt;Style id="sh_ylw-pushpin06"&gt;
		&lt;IconStyle&gt;
			&lt;scale&gt;1.3&lt;/scale&gt;
			&lt;Icon&gt;
				&lt;href&gt;http://maps.google.com/mapfiles/kml/pushpin/ylw-pushpin.png&lt;/href&gt;
			&lt;/Icon&gt;
			&lt;hotSpot x="20" y="2" xunits="pixels" yunits="pixels"/&gt;
		&lt;/IconStyle&gt;
		&lt;LineStyle&gt;
			&lt;color&gt;ffff00aa&lt;/color&gt;
			&lt;width&gt;6&lt;/width&gt;
		&lt;/LineStyle&gt;
	&lt;/Style&gt;
	&lt;Style id="sh_ylw-pushpin1"&gt;
		&lt;IconStyle&gt;
			&lt;scale&gt;1.3&lt;/scale&gt;
			&lt;Icon&gt;
				&lt;href&gt;http://maps.google.com/mapfiles/kml/pushpin/ylw-pushpin.png&lt;/href&gt;
			&lt;/Icon&gt;
			&lt;hotSpot x="20" y="2" xunits="pixels" yunits="pixels"/&gt;
		&lt;/IconStyle&gt;
		&lt;LineStyle&gt;
			&lt;color&gt;ffff0000&lt;/color&gt;
			&lt;width&gt;6&lt;/width&gt;
		&lt;/LineStyle&gt;
	&lt;/Style&gt;
	&lt;Style id="sh_ylw-pushpin41"&gt;
		&lt;IconStyle&gt;
			&lt;scale&gt;1.3&lt;/scale&gt;
			&lt;Icon&gt;
				&lt;href&gt;http://maps.google.com/mapfiles/kml/pushpin/ylw-pushpin.png&lt;/href&gt;
			&lt;/Icon&gt;
			&lt;hotSpot x="20" y="2" xunits="pixels" yunits="pixels"/&gt;
		&lt;/IconStyle&gt;
		&lt;LineStyle&gt;
			&lt;color&gt;ff00ffff&lt;/color&gt;
			&lt;width&gt;6&lt;/width&gt;
		&lt;/LineStyle&gt;
	&lt;/Style&gt;
	&lt;Style id="sh_ylw-pushpin600"&gt;
		&lt;IconStyle&gt;
			&lt;scale&gt;1.3&lt;/scale&gt;
			&lt;Icon&gt;
				&lt;href&gt;http://maps.google.com/mapfiles/kml/pushpin/ylw-pushpin.png&lt;/href&gt;
			&lt;/Icon&gt;
			&lt;hotSpot x="20" y="2" xunits="pixels" yunits="pixels"/&gt;
		&lt;/IconStyle&gt;
		&lt;LineStyle&gt;
			&lt;color&gt;ff00ffff&lt;/color&gt;
			&lt;width&gt;6&lt;/width&gt;
		&lt;/LineStyle&gt;
	&lt;/Style&gt;
	&lt;Style id="sh_ylw-pushpin705"&gt;
		&lt;IconStyle&gt;
			&lt;scale&gt;1.3&lt;/scale&gt;
			&lt;Icon&gt;
				&lt;href&gt;http://maps.google.com/mapfiles/kml/pushpin/ylw-pushpin.png&lt;/href&gt;
			&lt;/Icon&gt;
			&lt;hotSpot x="20" y="2" xunits="pixels" yunits="pixels"/&gt;
		&lt;/IconStyle&gt;
		&lt;LineStyle&gt;
			&lt;color&gt;ff00ff00&lt;/color&gt;
			&lt;width&gt;6&lt;/width&gt;
		&lt;/LineStyle&gt;
	&lt;/Style&gt;
	&lt;Style id="sh_ylw-pushpin93"&gt;
		&lt;IconStyle&gt;
			&lt;scale&gt;1.3&lt;/scale&gt;
			&lt;Icon&gt;
				&lt;href&gt;http://maps.google.com/mapfiles/kml/pushpin/ylw-pushpin.png&lt;/href&gt;
			&lt;/Icon&gt;
			&lt;hotSpot x="20" y="2" xunits="pixels" yunits="pixels"/&gt;
		&lt;/IconStyle&gt;
		&lt;LineStyle&gt;
			&lt;color&gt;ff0000ff&lt;/color&gt;
			&lt;width&gt;6&lt;/width&gt;
		&lt;/LineStyle&gt;
	&lt;/Style&gt;
	&lt;Style id="sn_ylw-pushpin051"&gt;
		&lt;IconStyle&gt;
			&lt;scale&gt;1.1&lt;/scale&gt;
			&lt;Icon&gt;
				&lt;href&gt;http://maps.google.com/mapfiles/kml/pushpin/ylw-pushpin.png&lt;/href&gt;
			&lt;/Icon&gt;
			&lt;hotSpot x="20" y="2" xunits="pixels" yunits="pixels"/&gt;
		&lt;/IconStyle&gt;
		&lt;LineStyle&gt;
			&lt;color&gt;ff0000ff&lt;/color&gt;
			&lt;width&gt;6&lt;/width&gt;
		&lt;/LineStyle&gt;
	&lt;/Style&gt;
	&lt;Style id="sn_ylw-pushpin106"&gt;
		&lt;IconStyle&gt;
			&lt;scale&gt;1.1&lt;/scale&gt;
			&lt;Icon&gt;
				&lt;href&gt;http://maps.google.com/mapfiles/kml/pushpin/ylw-pushpin.png&lt;/href&gt;
			&lt;/Icon&gt;
			&lt;hotSpot x="20" y="2" xunits="pixels" yunits="pixels"/&gt;
		&lt;/IconStyle&gt;
		&lt;LineStyle&gt;
			&lt;color&gt;ff00ff00&lt;/color&gt;
			&lt;width&gt;6&lt;/width&gt;
		&lt;/LineStyle&gt;
	&lt;/Style&gt;
	&lt;Style id="sn_ylw-pushpin23"&gt;
		&lt;IconStyle&gt;
			&lt;scale&gt;1.1&lt;/scale&gt;
			&lt;Icon&gt;
				&lt;href&gt;http://maps.google.com/mapfiles/kml/pushpin/ylw-pushpin.png&lt;/href&gt;
			&lt;/Icon&gt;
			&lt;hotSpot x="20" y="2" xunits="pixels" yunits="pixels"/&gt;
		&lt;/IconStyle&gt;
		&lt;LineStyle&gt;
			&lt;color&gt;ff00ffff&lt;/color&gt;
			&lt;width&gt;6&lt;/width&gt;
		&lt;/LineStyle&gt;
	&lt;/Style&gt;
	&lt;Style id="sn_ylw-pushpin411"&gt;
		&lt;IconStyle&gt;
			&lt;scale&gt;1.1&lt;/scale&gt;
			&lt;Icon&gt;
				&lt;href&gt;http://maps.google.com/mapfiles/kml/pushpin/ylw-pushpin.png&lt;/href&gt;
			&lt;/Icon&gt;
			&lt;hotSpot x="20" y="2" xunits="pixels" yunits="pixels"/&gt;
		&lt;/IconStyle&gt;
		&lt;LineStyle&gt;
			&lt;color&gt;ffff00aa&lt;/color&gt;
			&lt;width&gt;6&lt;/width&gt;
		&lt;/LineStyle&gt;
	&lt;/Style&gt;
	&lt;Style id="sn_ylw-pushpin5"&gt;
		&lt;IconStyle&gt;
			&lt;scale&gt;1.1&lt;/scale&gt;
			&lt;Icon&gt;
				&lt;href&gt;http://maps.google.com/mapfiles/kml/pushpin/ylw-pushpin.png&lt;/href&gt;
			&lt;/Icon&gt;
			&lt;hotSpot x="20" y="2" xunits="pixels" yunits="pixels"/&gt;
		&lt;/IconStyle&gt;
		&lt;LineStyle&gt;
			&lt;color&gt;ffff0000&lt;/color&gt;
			&lt;width&gt;6&lt;/width&gt;
		&lt;/LineStyle&gt;
	&lt;/Style&gt;
	&lt;Style id="sn_ylw-pushpin55"&gt;
		&lt;IconStyle&gt;
			&lt;scale&gt;1.1&lt;/scale&gt;
			&lt;Icon&gt;
				&lt;href&gt;http://maps.google.com/mapfiles/kml/pushpin/ylw-pushpin.png&lt;/href&gt;
			&lt;/Icon&gt;
			&lt;hotSpot x="20" y="2" xunits="pixels" yunits="pixels"/&gt;
		&lt;/IconStyle&gt;
		&lt;LineStyle&gt;
			&lt;color&gt;ff00ffff&lt;/color&gt;
			&lt;width&gt;6&lt;/width&gt;
		&lt;/LineStyle&gt;
	&lt;/Style&gt;
	&lt;Folder&gt;
		&lt;name&gt;ANABEL&lt;/name&gt;
		&lt;open&gt;1&lt;/open&gt;
		&lt;Placemark&gt;
			&lt;name&gt;RUA LUGANO&lt;/name&gt;
			&lt;styleUrl&gt;#m_ylw-pushpin000&lt;/styleUrl&gt;
			&lt;LineString&gt;
				&lt;tessellate&gt;1&lt;/tessellate&gt;
				&lt;coordinates&gt;
					-42.74585953154364,-5.085663391018326,0 -42.7459240812412,-5.086217246235258,0 
				&lt;/coordinates&gt;
			&lt;/LineString&gt;
		&lt;/Placemark&gt;
		&lt;Placemark&gt;
			&lt;name&gt;RUA 2 - TRECHO 2 - VERDE LAR&lt;/name&gt;
			&lt;styleUrl&gt;#msn_ylw-pushpin006&lt;/styleUrl&gt;
			&lt;LineString&gt;
				&lt;tessellate&gt;1&lt;/tessellate&gt;
				&lt;coordinates&gt;
					-42.7300315735872,-5.048583950768556,0 -42.73008885127061,-5.04982946318223,0 
				&lt;/coordinates&gt;
			&lt;/LineString&gt;
		&lt;/Placemark&gt;
		&lt;Placemark&gt;
			&lt;name&gt;RUA PROJETADA 2 - VERDE LAR&lt;/name&gt;
			&lt;styleUrl&gt;#msn_ylw-pushpin312&lt;/styleUrl&gt;
			&lt;LineString&gt;
				&lt;tessellate&gt;1&lt;/tessellate&gt;
				&lt;coordinates&gt;
					-42.73011546046326,-5.049268355867095,0 -42.73050245008089,-5.049241628772146,0 
				&lt;/coordinates&gt;
			&lt;/LineString&gt;
		&lt;/Placemark&gt;
		&lt;Placemark&gt;
			&lt;name&gt;RUA PROJETADA 01 - VERDE LAR&lt;/name&gt;
			&lt;styleUrl&gt;#msn_ylw-pushpin49&lt;/styleUrl&gt;
			&lt;LineString&gt;
				&lt;tessellate&gt;1&lt;/tessellate&gt;
				&lt;coordinates&gt;
					-42.73060373797585,-5.051256341947792,0 -42.73019747540148,-5.051269418749171,0 
				&lt;/coordinates&gt;
			&lt;/LineString&gt;
		&lt;/Placemark&gt;
		&lt;Placemark&gt;
			&lt;name&gt;SAIU&lt;/name&gt;
			&lt;styleUrl&gt;#msn_ylw-pushpin1004&lt;/styleUrl&gt;
			&lt;LineString&gt;
				&lt;tessellate&gt;1&lt;/tessellate&gt;
				&lt;coordinates&gt;
					-42.73019574142343,-5.051274461965797,0 -42.7302331326681,-5.051948933483415,0 
				&lt;/coordinates&gt;
			&lt;/LineString&gt;
		&lt;/Placemark&gt;
		&lt;Placemark&gt;
			&lt;name&gt;RUA PROJETADA - POV. SANTA LUZ&lt;/name&gt;
			&lt;styleUrl&gt;#msn_ylw-pushpin411&lt;/styleUrl&gt;
			&lt;LineString&gt;
				&lt;tessellate&gt;1&lt;/tessellate&gt;
				&lt;coordinates&gt;
					-42.76933387172433,-4.928699286953337,0 -42.76935435070139,-4.92923078711926,0 -42.76929729414316,-4.929275790937742,0 -42.77010387885817,-4.929718936761939,0 -42.77015492597235,-4.929771286489462,0 -42.77014456755656,-4.929853817658575,0 -42.77001947233556,-4.930094558247495,0 -42.76974846604638,-4.930709207739524,0 -42.76976491155067,-4.930754223770905,0 -42.76981948127708,-4.930758309503029,0 -42.76999097839019,-4.930803180171769,0 -42.77011622918722,-4.930831665299232,0 
				&lt;/coordinates&gt;
			&lt;/LineString&gt;
		&lt;/Placemark&gt;
		&lt;Placemark&gt;
			&lt;name&gt;RUA 27 - ADITIVO&lt;/name&gt;
			&lt;styleUrl&gt;#msn_ylw-pushpin8&lt;/styleUrl&gt;
			&lt;LineString&gt;
				&lt;tessellate&gt;1&lt;/tessellate&gt;
				&lt;coordinates&gt;
					-42.75032823756113,-5.043853102577574,0 -42.75047568242275,-5.043857519219022,0 -42.75059979354362,-5.043856415653274,0 -42.75087363121872,-5.043847572825958,0 
				&lt;/coordinates&gt;
			&lt;/LineString&gt;
		&lt;/Placemark&gt;
		&lt;Placemark&gt;
			&lt;name&gt;PLACA DA OBRA&lt;/name&gt;
			&lt;visibility&gt;0&lt;/visibility&gt;
			&lt;description&gt;-5.048582°, -42.730017&lt;/description&gt;
			&lt;LookAt&gt;
				&lt;longitude&gt;-42.72975502855654&lt;/longitude&gt;
				&lt;latitude&gt;-5.048858655062505&lt;/latitude&gt;
				&lt;altitude&gt;0&lt;/altitude&gt;
				&lt;heading&gt;-0.002868119988666225&lt;/heading&gt;
				&lt;tilt&gt;0&lt;/tilt&gt;
				&lt;range&gt;436.3281705898559&lt;/range&gt;
				&lt;gx:altitudeMode&gt;relativeToSeaFloor&lt;/gx:altitudeMode&gt;
			&lt;/LookAt&gt;
			&lt;styleUrl&gt;#m_ylw-pushpin11&lt;/styleUrl&gt;
			&lt;Point&gt;
				&lt;gx:drawOrder&gt;1&lt;/gx:drawOrder&gt;
				&lt;coordinates&gt;-42.730017,-5.048582,0&lt;/coordinates&gt;
			&lt;/Point&gt;
		&lt;/Placemark&gt;
		&lt;atom:link rel="app" href="https://www.google.com/earth/about/versions/#earth-pro" title="Google Earth Pro 7.3.6.10201"&gt;&lt;/atom:link&gt;
	&lt;/Folder&gt;
&lt;/Document&gt;
&lt;/kml&gt;</t>
  </si>
  <si>
    <t>SUBESTAÇÃO ELÉTRICA DE 300KVA NO CEFAP</t>
  </si>
  <si>
    <t>ILHOTAS</t>
  </si>
  <si>
    <t>&lt;?xml version="1.0" encoding="UTF-8"?&gt;
&lt;kml xmlns="http://www.opengis.net/kml/2.2" xmlns:gx="http://www.google.com/kml/ext/2.2" xmlns:kml="http://www.opengis.net/kml/2.2" xmlns:atom="http://www.w3.org/2005/Atom"&gt;
&lt;Document id="document"&gt;
	&lt;name&gt;Mapa sem título&lt;/name&gt;
	&lt;gx:CascadingStyle kml:id="__managed_style_0008E9A7003F14091CB3_highlight"&gt;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kml:id="__managed_style_0008E9A7003F14091CB3_normal"&gt;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id="__managed_style_0008E9A7003F14091CB3"&gt;
		&lt;Pair&gt;
			&lt;key&gt;normal&lt;/key&gt;
			&lt;styleUrl&gt;#__managed_style_0008E9A7003F14091CB3_normal&lt;/styleUrl&gt;
		&lt;/Pair&gt;
		&lt;Pair&gt;
			&lt;key&gt;highlight&lt;/key&gt;
			&lt;styleUrl&gt;#__managed_style_0008E9A7003F14091CB3_highlight&lt;/styleUrl&gt;
		&lt;/Pair&gt;
	&lt;/StyleMap&gt;
	&lt;Placemark id="0FC4D5D6993F14091C9C"&gt;
		&lt;name&gt;5°05&amp;apos;30.6&amp;quot;S 42°47&amp;apos;23.7&amp;quot;W&lt;/name&gt;
		&lt;LookAt&gt;
			&lt;longitude&gt;-42.789928&lt;/longitude&gt;
			&lt;latitude&gt;-5.091819&lt;/latitude&gt;
			&lt;altitude&gt;0&lt;/altitude&gt;
			&lt;heading&gt;0&lt;/heading&gt;
			&lt;tilt&gt;0&lt;/tilt&gt;
			&lt;gx:fovy&gt;35&lt;/gx:fovy&gt;
			&lt;range&gt;1051.875081264647&lt;/range&gt;
			&lt;altitudeMode&gt;relativeToGround&lt;/altitudeMode&gt;
		&lt;/LookAt&gt;
		&lt;styleUrl&gt;#__managed_style_0008E9A7003F14091CB3&lt;/styleUrl&gt;
		&lt;Point&gt;
			&lt;extrude&gt;1&lt;/extrude&gt;
			&lt;coordinates&gt;-42.789928,-5.091819,0&lt;/coordinates&gt;
		&lt;/Point&gt;
	&lt;/Placemark&gt;
&lt;/Document&gt;
&lt;/kml&gt;</t>
  </si>
  <si>
    <t>PAVIMENTAÇÃO EM PARALELEPÍPEDO DE VIAS PÚBLICAS NA ZONA URBANA E RURAL DO MUNICÍPIO DE TERESINA/PI, COM ÁREA DE 4.020,00M²</t>
  </si>
  <si>
    <t>ININGA</t>
  </si>
  <si>
    <t>PAVIMENTAÇÃO EM PARALELEPÍPEDO NO BAIRRO ININGA, NO MUNICÍPIO DE TERESINA-PI, COM UMA ÁREA DE 3.600,00M²</t>
  </si>
  <si>
    <t>ININGA,ZOOBOTÂNICO</t>
  </si>
  <si>
    <t>&lt;?xml version="1.0" encoding="UTF-8"?&gt;
&lt;kml xmlns="http://www.opengis.net/kml/2.2" xmlns:gx="http://www.google.com/kml/ext/2.2" xmlns:kml="http://www.opengis.net/kml/2.2" xmlns:atom="http://www.w3.org/2005/Atom"&gt;
&lt;Document id="document"&gt;
	&lt;name&gt;Mapa sem título&lt;/name&gt;
	&lt;gx:CascadingStyle kml:id="__managed_style_07CE3701B73F13D6AB28_highlight"&gt;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kml:id="__managed_style_07CE3701B73F13D6AB28_normal"&gt;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id="__managed_style_07CE3701B73F13D6AB28"&gt;
		&lt;Pair&gt;
			&lt;key&gt;normal&lt;/key&gt;
			&lt;styleUrl&gt;#__managed_style_07CE3701B73F13D6AB28_normal&lt;/styleUrl&gt;
		&lt;/Pair&gt;
		&lt;Pair&gt;
			&lt;key&gt;highlight&lt;/key&gt;
			&lt;styleUrl&gt;#__managed_style_07CE3701B73F13D6AB28_highlight&lt;/styleUrl&gt;
		&lt;/Pair&gt;
	&lt;/StyleMap&gt;
	&lt;Placemark id="073382A7793F13D6AB04"&gt;
		&lt;name&gt;Caminho sem título&lt;/name&gt;
		&lt;LookAt&gt;
			&lt;longitude&gt;-42.79504347862602&lt;/longitude&gt;
			&lt;latitude&gt;-5.049236929068728&lt;/latitude&gt;
			&lt;altitude&gt;63.91883350772383&lt;/altitude&gt;
			&lt;heading&gt;35.24660089573645&lt;/heading&gt;
			&lt;tilt&gt;0&lt;/tilt&gt;
			&lt;gx:fovy&gt;35&lt;/gx:fovy&gt;
			&lt;range&gt;401.7288003463182&lt;/range&gt;
			&lt;altitudeMode&gt;absolute&lt;/altitudeMode&gt;
		&lt;/LookAt&gt;
		&lt;styleUrl&gt;#__managed_style_07CE3701B73F13D6AB28&lt;/styleUrl&gt;
		&lt;LineString&gt;
			&lt;coordinates&gt;
				-42.79070782788526,-5.046419698479253,0 -42.79293630414781,-5.047952509466651,0 -42.79387277056564,-5.048705685916635,0 -42.7943915519531,-5.049192853002196,0 -42.79468680681189,-5.049595387821491,0 -42.7947920825026,-5.04976775353395,0 
			&lt;/coordinates&gt;
		&lt;/LineString&gt;
	&lt;/Placemark&gt;
&lt;/Document&gt;
&lt;/kml&gt;</t>
  </si>
  <si>
    <t>REFORMA DO CETI PROF PINHEIRO MACHADO EM TERESINA PI</t>
  </si>
  <si>
    <t>&lt;?xml version="1.0" encoding="UTF-8"?&gt;
&lt;kml xmlns="http://www.opengis.net/kml/2.2" xmlns:gx="http://www.google.com/kml/ext/2.2" xmlns:kml="http://www.opengis.net/kml/2.2" xmlns:atom="http://www.w3.org/2005/Atom"&gt;
&lt;Document id="1rsITNc960ydwqzdwJd8ivPjmujIT5O8m"&gt;
	&lt;name&gt;Mapa sem título&lt;/name&gt;
	&lt;gx:CascadingStyle kml:id="__managed_style_02D7C658433F14290730_normal"&gt;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&lt;gx:CascadingStyle kml:id="__managed_style_02D7C658433F14290730_highlight"&gt;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&lt;StyleMap id="__managed_style_02D7C658433F14290730"&gt;
		&lt;Pair&gt;
			&lt;key&gt;normal&lt;/key&gt;
			&lt;styleUrl&gt;#__managed_style_02D7C658433F14290730_normal&lt;/styleUrl&gt;
		&lt;/Pair&gt;
		&lt;Pair&gt;
			&lt;key&gt;highlight&lt;/key&gt;
			&lt;styleUrl&gt;#__managed_style_02D7C658433F14290730_highlight&lt;/styleUrl&gt;
		&lt;/Pair&gt;
	&lt;/StyleMap&gt;
	&lt;Placemark id="0AE646182F3F142EAF8E"&gt;
		&lt;gx:mid&gt;/g/1td25nd8&lt;/gx:mid&gt;
		&lt;gx:fid&gt;0x78e3093cf5559a5:0xaf24b2c97c8c7ee3&lt;/gx:fid&gt;
		&lt;LookAt&gt;
			&lt;longitude&gt;-42.7618026&lt;/longitude&gt;
			&lt;latitude&gt;-5.102829900000001&lt;/latitude&gt;
			&lt;altitude&gt;0&lt;/altitude&gt;
			&lt;heading&gt;0&lt;/heading&gt;
			&lt;tilt&gt;0&lt;/tilt&gt;
			&lt;gx:fovy&gt;35&lt;/gx:fovy&gt;
			&lt;range&gt;1051.85489580793&lt;/range&gt;
			&lt;altitudeMode&gt;relativeToGround&lt;/altitudeMode&gt;
		&lt;/LookAt&gt;
		&lt;styleUrl&gt;#__managed_style_02D7C658433F14290730&lt;/styleUrl&gt;
		&lt;Point&gt;
			&lt;altitudeMode&gt;relativeToGround&lt;/altitudeMode&gt;
			&lt;coordinates&gt;-42.7617924,-5.1028147,0&lt;/coordinates&gt;
		&lt;/Point&gt;
	&lt;/Placemark&gt;
&lt;/Document&gt;
&lt;/kml&gt;</t>
  </si>
  <si>
    <t>REVITALIZAÇÃO DO CAMPO DO CENTRO ESPORTIVO ALMEIDÃO NO MUNICÍPIO DE TERESINA - PI</t>
  </si>
  <si>
    <t>&lt;?xml version="1.0" encoding="UTF-8"?&gt;
&lt;kml xmlns="http://www.opengis.net/kml/2.2" xmlns:gx="http://www.google.com/kml/ext/2.2" xmlns:kml="http://www.opengis.net/kml/2.2" xmlns:atom="http://www.w3.org/2005/Atom"&gt;
&lt;Document id="document"&gt;
	&lt;name&gt;Mapa sem título&lt;/name&gt;
	&lt;gx:CascadingStyle kml:id="__managed_style_0728877E3E3F13C80EFC_highlight"&gt;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kml:id="__managed_style_0728877E3E3F13C80EFC_normal"&gt;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id="__managed_style_0728877E3E3F13C80EFC"&gt;
		&lt;Pair&gt;
			&lt;key&gt;normal&lt;/key&gt;
			&lt;styleUrl&gt;#__managed_style_0728877E3E3F13C80EFC_normal&lt;/styleUrl&gt;
		&lt;/Pair&gt;
		&lt;Pair&gt;
			&lt;key&gt;highlight&lt;/key&gt;
			&lt;styleUrl&gt;#__managed_style_0728877E3E3F13C80EFC_highlight&lt;/styleUrl&gt;
		&lt;/Pair&gt;
	&lt;/StyleMap&gt;
	&lt;Placemark id="0E7EEE91B23F13C80EEE"&gt;
		&lt;gx:mid&gt;/g/11c3s92h78&lt;/gx:mid&gt;
		&lt;gx:fid&gt;0x78e3099f3521081:0x75b5f1a530ba9878&lt;/gx:fid&gt;
		&lt;LookAt&gt;
			&lt;longitude&gt;-42.7616529&lt;/longitude&gt;
			&lt;latitude&gt;-5.1012489&lt;/latitude&gt;
			&lt;altitude&gt;0&lt;/altitude&gt;
			&lt;heading&gt;0&lt;/heading&gt;
			&lt;tilt&gt;0&lt;/tilt&gt;
			&lt;gx:fovy&gt;35&lt;/gx:fovy&gt;
			&lt;range&gt;1051.857796805877&lt;/range&gt;
			&lt;altitudeMode&gt;relativeToGround&lt;/altitudeMode&gt;
		&lt;/LookAt&gt;
		&lt;styleUrl&gt;#__managed_style_0728877E3E3F13C80EFC&lt;/styleUrl&gt;
		&lt;Point&gt;
			&lt;altitudeMode&gt;relativeToGround&lt;/altitudeMode&gt;
			&lt;coordinates&gt;-42.7616529,-5.1012489,0&lt;/coordinates&gt;
		&lt;/Point&gt;
	&lt;/Placemark&gt;
&lt;/Document&gt;
&lt;/kml&gt;</t>
  </si>
  <si>
    <t>OBRA DE AMPLIAÇÃO E ADEQUAÇÃO DE CASA NO BAIRRO JACINTA ANDRADE, TERESINA - PIAUÍ</t>
  </si>
  <si>
    <t>JACINTA ANDRADE</t>
  </si>
  <si>
    <t>&lt;?xml version="1.0" encoding="UTF-8"?&gt;
&lt;kml xmlns="http://www.opengis.net/kml/2.2" xmlns:gx="http://www.google.com/kml/ext/2.2" xmlns:kml="http://www.opengis.net/kml/2.2" xmlns:atom="http://www.w3.org/2005/Atom"&gt;
&lt;Document&gt;
	&lt;name&gt;OBRA DE AMPLIAÇÃO E ADEQUAÇÃO DE CASA NO BAIRRO JACINTA ANDRADE, TERESINA - PIAUÍ.kmz&lt;/name&gt;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&lt;name&gt;OBRA DE AMPLIAÇÃO E ADEQUAÇÃO DE CASA NO BAIRRO JACINTA ANDRADE, TERESINA - PIAUÍ&lt;/name&gt;
		&lt;LookAt&gt;
			&lt;longitude&gt;-42.80869734560235&lt;/longitude&gt;
			&lt;latitude&gt;-4.979888036096687&lt;/latitude&gt;
			&lt;altitude&gt;0&lt;/altitude&gt;
			&lt;heading&gt;-7.044155282561029e-05&lt;/heading&gt;
			&lt;tilt&gt;27.71004711117189&lt;/tilt&gt;
			&lt;range&gt;192.557582993834&lt;/range&gt;
			&lt;gx:altitudeMode&gt;relativeToSeaFloor&lt;/gx:altitudeMode&gt;
		&lt;/LookAt&gt;
		&lt;styleUrl&gt;#m_ylw-pushpin&lt;/styleUrl&gt;
		&lt;Point&gt;
			&lt;gx:drawOrder&gt;1&lt;/gx:drawOrder&gt;
			&lt;coordinates&gt;-42.80879722222222,-4.979847222222222,0&lt;/coordinates&gt;
		&lt;/Point&gt;
		&lt;atom:link rel="app" href="https://www.google.com/earth/about/versions/#earth-pro" title="Google Earth Pro 7.3.7.1155"&gt;&lt;/atom:link&gt;
	&lt;/Placemark&gt;
&lt;/Document&gt;
&lt;/kml&gt;</t>
  </si>
  <si>
    <t>CONSTRUÇÃO DE CAMPO SOCIETY NO MUNICÍPIO DE TERESINA – PI (ESTACA ZERO)</t>
  </si>
  <si>
    <t>LAGOINHA</t>
  </si>
  <si>
    <t>EXECUÇÃO DE MURO DE 413,40 M², NA HORTA COMUNITÁRIA NO BAIRRO MAFRENSE, NA ZONA URBANA DO MUNICÍPIO DE TERESINA-PI. CONT. 61/2024 - VM</t>
  </si>
  <si>
    <t>MAFRENSE</t>
  </si>
  <si>
    <t>&lt;?xml version="1.0" encoding="UTF-8"?&gt;
&lt;kml xmlns="http://www.opengis.net/kml/2.2" xmlns:gx="http://www.google.com/kml/ext/2.2" xmlns:kml="http://www.opengis.net/kml/2.2" xmlns:atom="http://www.w3.org/2005/Atom"&gt;
&lt;Document&gt;
	&lt;name&gt;HORTА COMUNITÁRIA - BAIRRO MAFRENSE.kmz&lt;/name&gt;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 HORTА COMUNITÁRIA - BAIRRO MAFRENSE&lt;/name&gt;
		&lt;LookAt&gt;
			&lt;longitude&gt;-42.8315295813663&lt;/longitude&gt;
			&lt;latitude&gt;-5.042356445735106&lt;/latitude&gt;
			&lt;altitude&gt;0&lt;/altitude&gt;
			&lt;heading&gt;-0.9259947714054739&lt;/heading&gt;
			&lt;tilt&gt;0&lt;/tilt&gt;
			&lt;range&gt;2260.570180704731&lt;/range&gt;
			&lt;gx:altitudeMode&gt;relativeToSeaFloor&lt;/gx:altitudeMode&gt;
		&lt;/LookAt&gt;
		&lt;styleUrl&gt;#m_ylw-pushpin&lt;/styleUrl&gt;
		&lt;Point&gt;
			&lt;gx:drawOrder&gt;1&lt;/gx:drawOrder&gt;
			&lt;coordinates&gt;-42.833638,-5.042867,0&lt;/coordinates&gt;
		&lt;/Point&gt;
		&lt;atom:link rel="app" href="https://www.google.com/earth/about/versions/#earth-pro" title="Google Earth Pro 7.3.6.10441"&gt;&lt;/atom:link&gt;
	&lt;/Placemark&gt;
&lt;/Document&gt;
&lt;/kml&gt;</t>
  </si>
  <si>
    <t>CONSTRUÇÃO E REFORMA DE PRAÇA NO BAIRRO MOCAMBINHO COM AREA DE 3.860,00 M² NO MUNICIPIO DE TERESINA-PI. CONT. Nº 32/2024 - VM VELOSO</t>
  </si>
  <si>
    <t>MOCAMBINHO</t>
  </si>
  <si>
    <t>&lt;?xml version="1.0" encoding="UTF-8"?&gt;
&lt;kml xmlns="http://www.opengis.net/kml/2.2" xmlns:gx="http://www.google.com/kml/ext/2.2" xmlns:kml="http://www.opengis.net/kml/2.2" xmlns:atom="http://www.w3.org/2005/Atom"&gt;
&lt;Document&gt;
	&lt;name&gt;PRAÇA, BAIRRO MOCAMBINHO, TERESINA-PI.kmz&lt;/name&gt;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&lt;name&gt;PRAÇA, BAIRRO MOCAMBINHO, TERESINA-PI&lt;/name&gt;
		&lt;LookAt&gt;
			&lt;longitude&gt;-42.813874688685&lt;/longitude&gt;
			&lt;latitude&gt;-5.02180240077587&lt;/latitude&gt;
			&lt;altitude&gt;0&lt;/altitude&gt;
			&lt;heading&gt;-32.24175172995894&lt;/heading&gt;
			&lt;tilt&gt;4.75792829311149&lt;/tilt&gt;
			&lt;range&gt;215.0905617512561&lt;/range&gt;
			&lt;gx:altitudeMode&gt;relativeToSeaFloor&lt;/gx:altitudeMode&gt;
		&lt;/LookAt&gt;
		&lt;styleUrl&gt;#m_ylw-pushpin&lt;/styleUrl&gt;
		&lt;Point&gt;
			&lt;gx:drawOrder&gt;1&lt;/gx:drawOrder&gt;
			&lt;coordinates&gt;-42.81419217986402,-5.021677624519718,0&lt;/coordinates&gt;
		&lt;/Point&gt;
		&lt;atom:link rel="app" href="https://www.google.com/earth/about/versions/#earth-pro" title="Google Earth Pro 7.3.6.10441"&gt;&lt;/atom:link&gt;
	&lt;/Placemark&gt;
&lt;/Document&gt;
&lt;/kml&gt;</t>
  </si>
  <si>
    <t>REFORMA DO CSU DO MONTE CASTELO EM TERESINA - PI</t>
  </si>
  <si>
    <t>MONTE CASTELO</t>
  </si>
  <si>
    <t>&lt;?xml version="1.0" encoding="UTF-8"?&gt;
&lt;kml xmlns="http://www.opengis.net/kml/2.2" xmlns:gx="http://www.google.com/kml/ext/2.2" xmlns:kml="http://www.opengis.net/kml/2.2" xmlns:atom="http://www.w3.org/2005/Atom"&gt;
&lt;Document id="document"&gt;
	&lt;name&gt;Mapa sem título&lt;/name&gt;
	&lt;gx:CascadingStyle kml:id="__managed_style_03A5B839893F141C17F3_highlight"&gt;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kml:id="__managed_style_03A5B839893F141C17F3_normal"&gt;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id="__managed_style_03A5B839893F141C17F3"&gt;
		&lt;Pair&gt;
			&lt;key&gt;normal&lt;/key&gt;
			&lt;styleUrl&gt;#__managed_style_03A5B839893F141C17F3_normal&lt;/styleUrl&gt;
		&lt;/Pair&gt;
		&lt;Pair&gt;
			&lt;key&gt;highlight&lt;/key&gt;
			&lt;styleUrl&gt;#__managed_style_03A5B839893F141C17F3_highlight&lt;/styleUrl&gt;
		&lt;/Pair&gt;
	&lt;/StyleMap&gt;
	&lt;Placemark id="02B0E362153F141C17DB"&gt;
		&lt;name&gt;Marcador de local sem título&lt;/name&gt;
		&lt;LookAt&gt;
			&lt;longitude&gt;-42.79860666402243&lt;/longitude&gt;
			&lt;latitude&gt;-5.100740667081418&lt;/latitude&gt;
			&lt;altitude&gt;89.39576436410283&lt;/altitude&gt;
			&lt;heading&gt;0&lt;/heading&gt;
			&lt;tilt&gt;0&lt;/tilt&gt;
			&lt;gx:fovy&gt;35&lt;/gx:fovy&gt;
			&lt;range&gt;361.085419680203&lt;/range&gt;
			&lt;altitudeMode&gt;absolute&lt;/altitudeMode&gt;
		&lt;/LookAt&gt;
		&lt;styleUrl&gt;#__managed_style_03A5B839893F141C17F3&lt;/styleUrl&gt;
		&lt;Point&gt;
			&lt;coordinates&gt;-42.79835200551436,-5.101039469198025,90.31998805918312&lt;/coordinates&gt;
		&lt;/Point&gt;
	&lt;/Placemark&gt;
&lt;/Document&gt;
&lt;/kml&gt;</t>
  </si>
  <si>
    <t>CONSTRUÇÃO DE UM CALÇADÃO NO BAIRRO MONTE CASTELO, COM ÁREA DE 595,50 M² NO MUNICÍPIO DE TERESINA - PI. CONT. Nº 16/2025 - BSC. (OPA)</t>
  </si>
  <si>
    <t>&lt;?xml version="1.0" encoding="UTF-8"?&gt;
&lt;kml xmlns="http://www.opengis.net/kml/2.2" xmlns:gx="http://www.google.com/kml/ext/2.2" xmlns:kml="http://www.opengis.net/kml/2.2" xmlns:atom="http://www.w3.org/2005/Atom"&gt;
&lt;Document&gt;
	&lt;name&gt;CALÇADAO MONTE CASTELO.kmz&lt;/name&gt;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&lt;LineStyle&gt;
			&lt;color&gt;ff00ffff&lt;/color&gt;
			&lt;width&gt;5&lt;/width&gt;
		&lt;/LineStyle&gt;
	&lt;/Style&gt;
	&lt;Style id="s_ylw-pushpin_hl"&gt;
		&lt;IconStyle&gt;
			&lt;scale&gt;1.3&lt;/scale&gt;
			&lt;Icon&gt;
				&lt;href&gt;http://maps.google.com/mapfiles/kml/pushpin/ylw-pushpin.png&lt;/href&gt;
			&lt;/Icon&gt;
			&lt;hotSpot x="20" y="2" xunits="pixels" yunits="pixels"/&gt;
		&lt;/IconStyle&gt;
		&lt;LineStyle&gt;
			&lt;color&gt;ff00ffff&lt;/color&gt;
			&lt;width&gt;5&lt;/width&gt;
		&lt;/LineStyle&gt;
	&lt;/Style&gt;
	&lt;Folder&gt;
		&lt;name&gt;CALÇADAO MONTE CASTELO&lt;/name&gt;
		&lt;open&gt;1&lt;/open&gt;
		&lt;Placemark&gt;
			&lt;name&gt;CALÇADÃO MONTE CASTELO&lt;/name&gt;
			&lt;styleUrl&gt;#m_ylw-pushpin&lt;/styleUrl&gt;
			&lt;LineString&gt;
				&lt;tessellate&gt;1&lt;/tessellate&gt;
				&lt;coordinates&gt;
					-42.79342642161733,-5.103271078251747,0 -42.79419957329672,-5.103723585912712,0 
				&lt;/coordinates&gt;
			&lt;/LineString&gt;
		&lt;/Placemark&gt;
		&lt;Placemark&gt;
			&lt;name&gt;CALÇADÃO MONTE CASTELO&lt;/name&gt;
			&lt;styleUrl&gt;#m_ylw-pushpin&lt;/styleUrl&gt;
			&lt;LineString&gt;
				&lt;tessellate&gt;1&lt;/tessellate&gt;
				&lt;coordinates&gt;
					-42.79349576000373,-5.103214122271856,0 -42.79394331140216,-5.103456395541287,0 
				&lt;/coordinates&gt;
			&lt;/LineString&gt;
		&lt;/Placemark&gt;
		&lt;atom:link rel="app" href="https://www.google.com/earth/about/versions/#earth-pro" title="Google Earth Pro 7.3.6.10201"&gt;&lt;/atom:link&gt;
	&lt;/Folder&gt;
&lt;/Document&gt;
&lt;/kml&gt;</t>
  </si>
  <si>
    <t>CONSTRUÇÃO DE ACADEMIAS POPULARES EM TERESINA - PI (BAIRROS MONTE CASTELO E PLANALTO URUGUAI)</t>
  </si>
  <si>
    <t>MONTE CASTELO E PLANALTO URUGUAI</t>
  </si>
  <si>
    <t>SUL, SUDESTE</t>
  </si>
  <si>
    <t>REFORMA DE PRAÇA COM AREA DE 557,88 M² NO BAIRRO MONTE VERDE NO MUNICIPIO DE TERESINA-PI. CONT. 21/2024 - LUAN CUNHA LTDA</t>
  </si>
  <si>
    <t>MONTE VERDE</t>
  </si>
  <si>
    <t>&lt;?xml version="1.0" encoding="UTF-8"?&gt;
&lt;kml xmlns="http://www.opengis.net/kml/2.2" xmlns:gx="http://www.google.com/kml/ext/2.2" xmlns:kml="http://www.opengis.net/kml/2.2" xmlns:atom="http://www.w3.org/2005/Atom"&gt;
&lt;Document&gt;
	&lt;name&gt;PRAÇA, MONTE VERDE, TERESINA-PI.kmz&lt;/name&gt;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&lt;name&gt;PRAÇA, MONTE VERDE, TERESINA-PI&lt;/name&gt;
		&lt;LookAt&gt;
			&lt;longitude&gt;-42.82158060121966&lt;/longitude&gt;
			&lt;latitude&gt;-4.998156805958567&lt;/latitude&gt;
			&lt;altitude&gt;0&lt;/altitude&gt;
			&lt;heading&gt;-25.84314265542713&lt;/heading&gt;
			&lt;tilt&gt;0&lt;/tilt&gt;
			&lt;range&gt;99.61714074269909&lt;/range&gt;
			&lt;gx:altitudeMode&gt;relativeToSeaFloor&lt;/gx:altitudeMode&gt;
		&lt;/LookAt&gt;
		&lt;styleUrl&gt;#m_ylw-pushpin&lt;/styleUrl&gt;
		&lt;Point&gt;
			&lt;gx:drawOrder&gt;1&lt;/gx:drawOrder&gt;
			&lt;coordinates&gt;-42.821567,-4.998119,0&lt;/coordinates&gt;
		&lt;/Point&gt;
		&lt;atom:link rel="app" href="https://www.google.com/earth/about/versions/#earth-pro" title="Google Earth Pro 7.3.6.10441"&gt;&lt;/atom:link&gt;
	&lt;/Placemark&gt;
&lt;/Document&gt;
&lt;/kml&gt;</t>
  </si>
  <si>
    <t>REFORMA DA PRAÇA NO BAIRRO MORADA NOVA, ZONA URBANA DO MUNICÍPIO DE TERESINA - PI, COM ÁREA TOTAL DE 6.902,66 M². CONTRATO 024/2025 - LAURITA (OPA)</t>
  </si>
  <si>
    <t>MORADA NOVA</t>
  </si>
  <si>
    <t>&lt;?xml version="1.0" encoding="UTF-8"?&gt;
&lt;kml xmlns="http://www.opengis.net/kml/2.2" xmlns:gx="http://www.google.com/kml/ext/2.2" xmlns:kml="http://www.opengis.net/kml/2.2" xmlns:atom="http://www.w3.org/2005/Atom"&gt;
&lt;Document&gt;
	&lt;name&gt;ID-14537 - PRAÇA - TERESINA.kmz&lt;/name&gt;
	&lt;StyleMap id="m_ylw-pushpin"&gt;
		&lt;Pair&gt;
			&lt;key&gt;normal&lt;/key&gt;
			&lt;styleUrl&gt;#s_ylw-pushpin&lt;/styleUrl&gt;
		&lt;/Pair&gt;
		&lt;Pair&gt;
			&lt;key&gt;highlight&lt;/key&gt;
			&lt;styleUrl&gt;#s_ylw-pushpin_hl&lt;/styleUrl&gt;
		&lt;/Pair&gt;
	&lt;/StyleMap&gt;
	&lt;StyleMap id="m_ylw-pushpin0"&gt;
		&lt;Pair&gt;
			&lt;key&gt;normal&lt;/key&gt;
			&lt;styleUrl&gt;#s_ylw-pushpin0&lt;/styleUrl&gt;
		&lt;/Pair&gt;
		&lt;Pair&gt;
			&lt;key&gt;highlight&lt;/key&gt;
			&lt;styleUrl&gt;#s_ylw-pushpin_hl0&lt;/styleUrl&gt;
		&lt;/Pair&gt;
	&lt;/StyleMap&gt;
	&lt;Style id="s_ylw-pushpin"&gt;
		&lt;IconStyle&gt;
			&lt;scale&gt;1.1&lt;/scale&gt;
			&lt;Icon&gt;
				&lt;href&gt;http://maps.google.com/mapfiles/kml/pushpin/ylw-pushpin.png&lt;/href&gt;
			&lt;/Icon&gt;
			&lt;hotSpot x="20" y="2" xunits="pixels" yunits="pixels"/&gt;
		&lt;/IconStyle&gt;
		&lt;LineStyle&gt;
			&lt;width&gt;2&lt;/width&gt;
		&lt;/LineStyle&gt;
	&lt;/Style&gt;
	&lt;Style id="s_ylw-pushpin0"&gt;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&lt;LineStyle&gt;
			&lt;width&gt;2&lt;/width&gt;
		&lt;/LineStyle&gt;
	&lt;/Style&gt;
	&lt;Style id="s_ylw-pushpin_hl0"&gt;
		&lt;IconStyle&gt;
			&lt;scale&gt;1.3&lt;/scale&gt;
			&lt;Icon&gt;
				&lt;href&gt;http://maps.google.com/mapfiles/kml/pushpin/ylw-pushpin.png&lt;/href&gt;
			&lt;/Icon&gt;
			&lt;hotSpot x="20" y="2" xunits="pixels" yunits="pixels"/&gt;
		&lt;/IconStyle&gt;
	&lt;/Style&gt;
	&lt;Folder&gt;
		&lt;name&gt;ID-14537 - PRAÇA - TERESINA&lt;/name&gt;
		&lt;open&gt;1&lt;/open&gt;
		&lt;Placemark&gt;
			&lt;name&gt;ID-14537 - PRAÇA - TERESINA&lt;/name&gt;
			&lt;LookAt&gt;
				&lt;longitude&gt;-42.78840524092931&lt;/longitude&gt;
				&lt;latitude&gt;-5.124774386804714&lt;/latitude&gt;
				&lt;altitude&gt;0&lt;/altitude&gt;
				&lt;heading&gt;1.471006540176876e-14&lt;/heading&gt;
				&lt;tilt&gt;45&lt;/tilt&gt;
				&lt;range&gt;999.9999999978191&lt;/range&gt;
				&lt;gx:altitudeMode&gt;relativeToSeaFloor&lt;/gx:altitudeMode&gt;
			&lt;/LookAt&gt;
			&lt;styleUrl&gt;#m_ylw-pushpin0&lt;/styleUrl&gt;
			&lt;Point&gt;
				&lt;gx:drawOrder&gt;1&lt;/gx:drawOrder&gt;
				&lt;coordinates&gt;-42.78840524092933,-5.124774386804726,0&lt;/coordinates&gt;
			&lt;/Point&gt;
		&lt;/Placemark&gt;
		&lt;Placemark&gt;
			&lt;name&gt;ID-14537 - PRAÇA - TERESINA&lt;/name&gt;
			&lt;styleUrl&gt;#m_ylw-pushpin&lt;/styleUrl&gt;
			&lt;LineString&gt;
				&lt;tessellate&gt;1&lt;/tessellate&gt;
				&lt;coordinates&gt;
					-42.78879187382785,-5.124172491951025,0 -42.78841726389938,-5.124127687989207,0 -42.78798431370495,-5.125241715422704,0 -42.78834786108117,-5.125374215034083,0 -42.78879187382785,-5.124172491951025,0 
				&lt;/coordinates&gt;
			&lt;/LineString&gt;
		&lt;/Placemark&gt;
		&lt;atom:link rel="app" href="https://www.google.com/earth/about/versions/#earth-pro" title="Google Earth Pro 7.3.6.10201"&gt;&lt;/atom:link&gt;
	&lt;/Folder&gt;
&lt;/Document&gt;
&lt;/kml&gt;</t>
  </si>
  <si>
    <t>PAVIMENTAÇÃO EM PARALELEPÍPEDO NA COMUNIDADE LESTE DO BAIRRO MORROS, ZONA URBANA DO MUNICÍPIO DE TERESINA – PI, COM ÁREA TOTAL DE 6.001,81 M². CONTRATO 028/2025 - VM - OPA</t>
  </si>
  <si>
    <t>&lt;?xml version="1.0" encoding="UTF-8"?&gt;
&lt;kml xmlns="http://www.opengis.net/kml/2.2" xmlns:gx="http://www.google.com/kml/ext/2.2" xmlns:kml="http://www.opengis.net/kml/2.2" xmlns:atom="http://www.w3.org/2005/Atom"&gt;
&lt;Document&gt;
	&lt;name&gt;1092 - REV1.kmz&lt;/name&gt;
	&lt;open&gt;1&lt;/open&gt;
	&lt;atom:link rel="app" href="https://www.google.com/earth/about/versions/#earth-pro" title="Google Earth Pro 7.3.6.10201"&gt;&lt;/atom:link&gt;
	&lt;StyleMap id="__managed_style_078E2C658935859205C0"&gt;
		&lt;Pair&gt;
			&lt;key&gt;normal&lt;/key&gt;
			&lt;styleUrl&gt;#failed5&lt;/styleUrl&gt;
		&lt;/Pair&gt;
		&lt;Pair&gt;
			&lt;key&gt;highlight&lt;/key&gt;
			&lt;styleUrl&gt;#failed1&lt;/styleUrl&gt;
		&lt;/Pair&gt;
	&lt;/StyleMap&gt;
	&lt;StyleMap id="__managed_style_3D22BBED1535859205C0"&gt;
		&lt;Pair&gt;
			&lt;key&gt;normal&lt;/key&gt;
			&lt;styleUrl&gt;#failed8&lt;/styleUrl&gt;
		&lt;/Pair&gt;
		&lt;Pair&gt;
			&lt;key&gt;highlight&lt;/key&gt;
			&lt;styleUrl&gt;#failed2&lt;/styleUrl&gt;
		&lt;/Pair&gt;
	&lt;/StyleMap&gt;
	&lt;StyleMap id="__managed_style_3D22BBED1535859205C00"&gt;
		&lt;Pair&gt;
			&lt;key&gt;normal&lt;/key&gt;
			&lt;styleUrl&gt;#failed3&lt;/styleUrl&gt;
		&lt;/Pair&gt;
		&lt;Pair&gt;
			&lt;key&gt;highlight&lt;/key&gt;
			&lt;styleUrl&gt;#failed7&lt;/styleUrl&gt;
		&lt;/Pair&gt;
	&lt;/StyleMap&gt;
	&lt;StyleMap id="__managed_style_3D22BBED1535859205C01"&gt;
		&lt;Pair&gt;
			&lt;key&gt;normal&lt;/key&gt;
			&lt;styleUrl&gt;#failed&lt;/styleUrl&gt;
		&lt;/Pair&gt;
		&lt;Pair&gt;
			&lt;key&gt;highlight&lt;/key&gt;
			&lt;styleUrl&gt;#failed0&lt;/styleUrl&gt;
		&lt;/Pair&gt;
	&lt;/StyleMap&gt;
	&lt;StyleMap id="__managed_style_3D22BBED1535859205C02"&gt;
		&lt;Pair&gt;
			&lt;key&gt;normal&lt;/key&gt;
			&lt;styleUrl&gt;#failed6&lt;/styleUrl&gt;
		&lt;/Pair&gt;
		&lt;Pair&gt;
			&lt;key&gt;highlight&lt;/key&gt;
			&lt;styleUrl&gt;#failed4&lt;/styleUrl&gt;
		&lt;/Pair&gt;
	&lt;/StyleMap&gt;
	&lt;Style id="failed"&gt;
		&lt;LineStyle&gt;
			&lt;color&gt;ff00ff55&lt;/color&gt;
			&lt;width&gt;6&lt;/width&gt;
		&lt;/LineStyle&gt;
	&lt;/Style&gt;
	&lt;Style id="failed0"&gt;
		&lt;LineStyle&gt;
			&lt;color&gt;ff00ff55&lt;/color&gt;
			&lt;width&gt;6&lt;/width&gt;
		&lt;/LineStyle&gt;
	&lt;/Style&gt;
	&lt;Style id="failed1"&gt;
		&lt;LineStyle&gt;
			&lt;color&gt;ff0055ff&lt;/color&gt;
			&lt;width&gt;6&lt;/width&gt;
		&lt;/LineStyle&gt;
	&lt;/Style&gt;
	&lt;Style id="failed2"&gt;
		&lt;LineStyle&gt;
			&lt;color&gt;ffffff00&lt;/color&gt;
			&lt;width&gt;6&lt;/width&gt;
		&lt;/LineStyle&gt;
	&lt;/Style&gt;
	&lt;Style id="failed3"&gt;
		&lt;LineStyle&gt;
			&lt;color&gt;ffffff00&lt;/color&gt;
			&lt;width&gt;6&lt;/width&gt;
		&lt;/LineStyle&gt;
	&lt;/Style&gt;
	&lt;Style id="failed4"&gt;
		&lt;LineStyle&gt;
			&lt;color&gt;ff7f00aa&lt;/color&gt;
			&lt;width&gt;6&lt;/width&gt;
		&lt;/LineStyle&gt;
	&lt;/Style&gt;
	&lt;Style id="failed5"&gt;
		&lt;LineStyle&gt;
			&lt;color&gt;ff0055ff&lt;/color&gt;
			&lt;width&gt;6&lt;/width&gt;
		&lt;/LineStyle&gt;
	&lt;/Style&gt;
	&lt;Style id="failed6"&gt;
		&lt;LineStyle&gt;
			&lt;color&gt;ff7f00aa&lt;/color&gt;
			&lt;width&gt;6&lt;/width&gt;
		&lt;/LineStyle&gt;
	&lt;/Style&gt;
	&lt;Style id="failed7"&gt;
		&lt;LineStyle&gt;
			&lt;color&gt;ffffff00&lt;/color&gt;
			&lt;width&gt;6&lt;/width&gt;
		&lt;/LineStyle&gt;
	&lt;/Style&gt;
	&lt;Style id="failed8"&gt;
		&lt;LineStyle&gt;
			&lt;color&gt;ffffff00&lt;/color&gt;
			&lt;width&gt;6&lt;/width&gt;
		&lt;/LineStyle&gt;
	&lt;/Style&gt;
	&lt;Placemark id="098AB0EBAA333FF035CB"&gt;
		&lt;name&gt;Rua Alameda 03&lt;/name&gt;
		&lt;open&gt;1&lt;/open&gt;
		&lt;LookAt&gt;
			&lt;longitude&gt;-42.75532084837702&lt;/longitude&gt;
			&lt;latitude&gt;-5.032980765694161&lt;/latitude&gt;
			&lt;altitude&gt;124.2176015222763&lt;/altitude&gt;
			&lt;heading&gt;0&lt;/heading&gt;
			&lt;tilt&gt;0&lt;/tilt&gt;
			&lt;range&gt;383.2160173440934&lt;/range&gt;
			&lt;altitudeMode&gt;absolute&lt;/altitudeMode&gt;
			&lt;gx:fovy&gt;35&lt;/gx:fovy&gt;
		&lt;/LookAt&gt;
		&lt;styleUrl&gt;#__managed_style_078E2C658935859205C0&lt;/styleUrl&gt;
		&lt;LineString&gt;
			&lt;coordinates&gt;
				-42.75376295117646,-5.031939657549687,0 -42.75519030073448,-5.032990314214599,0 
			&lt;/coordinates&gt;
		&lt;/LineString&gt;
	&lt;/Placemark&gt;
	&lt;Placemark id="04F6D01266352884B17B"&gt;
		&lt;name&gt;Rua Alameda 04 226 m&lt;/name&gt;
		&lt;open&gt;1&lt;/open&gt;
		&lt;LookAt&gt;
			&lt;longitude&gt;-42.75288955134164&lt;/longitude&gt;
			&lt;latitude&gt;-5.033418499037852&lt;/latitude&gt;
			&lt;altitude&gt;135.96163449374&lt;/altitude&gt;
			&lt;heading&gt;327.3151094776774&lt;/heading&gt;
			&lt;tilt&gt;0&lt;/tilt&gt;
			&lt;range&gt;349.9900710906877&lt;/range&gt;
			&lt;altitudeMode&gt;absolute&lt;/altitudeMode&gt;
			&lt;gx:fovy&gt;57.28702508148121&lt;/gx:fovy&gt;
		&lt;/LookAt&gt;
		&lt;styleUrl&gt;#__managed_style_3D22BBED1535859205C00&lt;/styleUrl&gt;
		&lt;LineString&gt;
			&lt;coordinates&gt;
				-42.7526493633177,-5.033236367920146,0 -42.75399196242427,-5.03427493830896,0 -42.75429977591325,-5.034433699369316,0 
			&lt;/coordinates&gt;
		&lt;/LineString&gt;
	&lt;/Placemark&gt;
	&lt;Placemark&gt;
		&lt;name&gt;Alameda 04 - T02 - 35m&lt;/name&gt;
		&lt;styleUrl&gt;#__managed_style_3D22BBED1535859205C0&lt;/styleUrl&gt;
		&lt;LineString&gt;
			&lt;tessellate&gt;1&lt;/tessellate&gt;
			&lt;coordinates&gt;
				-42.75188326080534,-5.032665324858701,0 -42.75162609069919,-5.032483924996104,0 
			&lt;/coordinates&gt;
		&lt;/LineString&gt;
	&lt;/Placemark&gt;
	&lt;Placemark id="0224186AA5351A5792FE"&gt;
		&lt;name&gt;Rua 05&lt;/name&gt;
		&lt;LookAt&gt;
			&lt;longitude&gt;-42.75366161947599&lt;/longitude&gt;
			&lt;latitude&gt;-5.032679063196961&lt;/latitude&gt;
			&lt;altitude&gt;132.5115367902998&lt;/altitude&gt;
			&lt;heading&gt;25.16641076991883&lt;/heading&gt;
			&lt;tilt&gt;0&lt;/tilt&gt;
			&lt;range&gt;380.917100796396&lt;/range&gt;
			&lt;altitudeMode&gt;absolute&lt;/altitudeMode&gt;
			&lt;gx:fovy&gt;35&lt;/gx:fovy&gt;
		&lt;/LookAt&gt;
		&lt;styleUrl&gt;#__managed_style_3D22BBED1535859205C01&lt;/styleUrl&gt;
		&lt;LineString&gt;
			&lt;coordinates&gt;
				-42.75393273419501,-5.032075882995749,0 -42.75298685704306,-5.033444657545916,0 
			&lt;/coordinates&gt;
		&lt;/LineString&gt;
	&lt;/Placemark&gt;
	&lt;Placemark id="037BFF8665352874460A"&gt;
		&lt;name&gt;Rua 80 - 194m&lt;/name&gt;
		&lt;open&gt;1&lt;/open&gt;
		&lt;LookAt&gt;
			&lt;longitude&gt;-42.75266030834609&lt;/longitude&gt;
			&lt;latitude&gt;-5.032053100630126&lt;/latitude&gt;
			&lt;altitude&gt;133.5131032743375&lt;/altitude&gt;
			&lt;heading&gt;335.5528182422274&lt;/heading&gt;
			&lt;tilt&gt;0&lt;/tilt&gt;
			&lt;range&gt;804.5748536921747&lt;/range&gt;
			&lt;altitudeMode&gt;absolute&lt;/altitudeMode&gt;
			&lt;gx:fovy&gt;35&lt;/gx:fovy&gt;
		&lt;/LookAt&gt;
		&lt;styleUrl&gt;#__managed_style_3D22BBED1535859205C02&lt;/styleUrl&gt;
		&lt;LineString&gt;
			&lt;coordinates&gt;
				-42.75266718781097,-5.031071596604524,0 -42.75162827739091,-5.032478375549811,0 
			&lt;/coordinates&gt;
		&lt;/LineString&gt;
	&lt;/Placemark&gt;
&lt;/Document&gt;
&lt;/kml&gt;</t>
  </si>
  <si>
    <t>SEMARH</t>
  </si>
  <si>
    <t>RESTAURAÇÃO DE PASSARELAS E PIER NO CENTRO EDUCACIONAL AMBIENTAL, NO MUNICÍPIO DE TERESINA-PI.</t>
  </si>
  <si>
    <t>&lt;?xml version="1.0" encoding="UTF-8"?&gt;
&lt;kml xmlns="http://www.opengis.net/kml/2.2" xmlns:gx="http://www.google.com/kml/ext/2.2" xmlns:kml="http://www.opengis.net/kml/2.2" xmlns:atom="http://www.w3.org/2005/Atom"&gt;
&lt;Document id="16g-9XKMj-HPBFYKGaUPchQ_athvlkX2C"&gt;
	&lt;name&gt;RESTAURAÇÃO DE PASSARELAS E PIER NO CENTRO EDUCACIONAL AMBIENTAL, NO MUNICÍPIO DE TERESINA-PI.&lt;/name&gt;
	&lt;gx:CascadingStyle kml:id="__managed_style_2780E4F35A3F148CC278"&gt;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kml:id="__managed_style_10D2E197E93F148CC278"&gt;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id="__managed_style_08430E92433F148CC278"&gt;
		&lt;Pair&gt;
			&lt;key&gt;normal&lt;/key&gt;
			&lt;styleUrl&gt;#__managed_style_10D2E197E93F148CC278&lt;/styleUrl&gt;
		&lt;/Pair&gt;
		&lt;Pair&gt;
			&lt;key&gt;highlight&lt;/key&gt;
			&lt;styleUrl&gt;#__managed_style_2780E4F35A3F148CC278&lt;/styleUrl&gt;
		&lt;/Pair&gt;
	&lt;/StyleMap&gt;
	&lt;gx:CascadingStyle kml:id="__managed_style_2F686AC8523F143C2F78"&gt;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&lt;/BalloonStyle&gt;
		&lt;/Style&gt;
	&lt;/gx:CascadingStyle&gt;
	&lt;gx:CascadingStyle kml:id="__managed_style_1E391ABE5E3F143C2F78"&gt;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&lt;/BalloonStyle&gt;
		&lt;/Style&gt;
	&lt;/gx:CascadingStyle&gt;
	&lt;StyleMap id="__managed_style_02D3BCB26D3F143C2F78"&gt;
		&lt;Pair&gt;
			&lt;key&gt;normal&lt;/key&gt;
			&lt;styleUrl&gt;#__managed_style_1E391ABE5E3F143C2F78&lt;/styleUrl&gt;
		&lt;/Pair&gt;
		&lt;Pair&gt;
			&lt;key&gt;highlight&lt;/key&gt;
			&lt;styleUrl&gt;#__managed_style_2F686AC8523F143C2F78&lt;/styleUrl&gt;
		&lt;/Pair&gt;
	&lt;/StyleMap&gt;
	&lt;GroundOverlay id="0339183A1C3F14168A8C"&gt;
		&lt;name&gt;Área político-administrativa (nível 2)&lt;/name&gt;
		&lt;LookAt&gt;
			&lt;longitude&gt;-105&lt;/longitude&gt;
			&lt;latitude&gt;44&lt;/latitude&gt;
			&lt;altitude&gt;0&lt;/altitude&gt;
			&lt;heading&gt;0&lt;/heading&gt;
			&lt;tilt&gt;0&lt;/tilt&gt;
			&lt;gx:fovy&gt;30&lt;/gx:fovy&gt;
			&lt;range&gt;10000000&lt;/range&gt;
			&lt;altitudeMode&gt;absolute&lt;/altitudeMode&gt;
		&lt;/LookAt&gt;
		&lt;styleUrl&gt;#__managed_style_02D3BCB26D3F143C2F78&lt;/styleUrl&gt;
		&lt;drawOrder&gt;5&lt;/drawOrder&gt;
		&lt;Icon&gt;
			&lt;href&gt;data:image/gif;base64,R0lGODlhAQABAIAAAP///wAAACH5BAEAAAAALAAAAAABAAEAAAICRAEAOw==&lt;/href&gt;
		&lt;/Icon&gt;
		&lt;LatLonBox&gt;
			&lt;north&gt;85&lt;/north&gt;
			&lt;south&gt;-85&lt;/south&gt;
			&lt;east&gt;180&lt;/east&gt;
			&lt;west&gt;-180&lt;/west&gt;
		&lt;/LatLonBox&gt;
		&lt;gx:MapTilePyramid&gt;
			&lt;Link&gt;
				&lt;href&gt;earthdatalayer:0:CAESJDkyNTU4MzMwLTM4ZmQtNDQxNC1hNTI4LTk2M2Y1NzYwMmQ1Ng&lt;/href&gt;
			&lt;/Link&gt;
			&lt;gx:minLevel&gt;0&lt;/gx:minLevel&gt;
			&lt;gx:maxLevel&gt;22&lt;/gx:maxLevel&gt;
		&lt;/gx:MapTilePyramid&gt;
	&lt;/GroundOverlay&gt;
	&lt;Placemark id="097C7630503F148CC263"&gt;
		&lt;gx:mid&gt;/g/11c4w0mylm&lt;/gx:mid&gt;
		&lt;gx:fid&gt;0x78e39febdfe02e9:0x66e544745d625084&lt;/gx:fid&gt;
		&lt;LookAt&gt;
			&lt;longitude&gt;-42.7897078&lt;/longitude&gt;
			&lt;latitude&gt;-5.0873077&lt;/latitude&gt;
			&lt;altitude&gt;0&lt;/altitude&gt;
			&lt;heading&gt;0&lt;/heading&gt;
			&lt;tilt&gt;0&lt;/tilt&gt;
			&lt;gx:fovy&gt;35&lt;/gx:fovy&gt;
			&lt;range&gt;1051.883338954762&lt;/range&gt;
			&lt;altitudeMode&gt;relativeToGround&lt;/altitudeMode&gt;
		&lt;/LookAt&gt;
		&lt;styleUrl&gt;#__managed_style_08430E92433F148CC278&lt;/styleUrl&gt;
		&lt;Point&gt;
			&lt;altitudeMode&gt;relativeToGround&lt;/altitudeMode&gt;
			&lt;coordinates&gt;-42.7897078,-5.0873077,0&lt;/coordinates&gt;
		&lt;/Point&gt;
	&lt;/Placemark&gt;
&lt;/Document&gt;
&lt;/kml&gt;</t>
  </si>
  <si>
    <t>MANUTENÇÃO PREDIAL CORRETIVA E PREVENTIVA DA ÁREA DA POTYCABANA</t>
  </si>
  <si>
    <t>RECUPERAÇÃO DE ESTRADA VICINAL EM MATERIAL PRIMÁRIO - TERESINA 40,00 KM</t>
  </si>
  <si>
    <t>NOVO URUGUAI</t>
  </si>
  <si>
    <t>EXECUTAR 6.988,40M² DE PAVIMENTAÇÃO DE VIASNO BAIRRO PALITOLANDIA NO MUNICÍPIO DE TERESINA-PI</t>
  </si>
  <si>
    <t xml:space="preserve">PALITOLANDIA </t>
  </si>
  <si>
    <t>CONSTRUÇÃO DE QUADRAS POLIESPORTIVAS (OPA - PARK WALL FERRAZ E MANOEL EVANGELISTA)</t>
  </si>
  <si>
    <t>PARK WALL FERRAZ, MANOEL EVANGELISTA</t>
  </si>
  <si>
    <t>NORTE, SUDESTE</t>
  </si>
  <si>
    <t>PROJETO DE ENGENHARIA PARA PAVIMENTAÇÃO EM PARALELEPÍPEDO DE VIAS PÚBLICAS NO BAIRRO PARQUE BRASIL NO MUNICÍPIO TERESINA COM 894,36 M².</t>
  </si>
  <si>
    <t>&lt;?xml version="1.0" encoding="UTF-8"?&gt;
&lt;kml xmlns="http://www.opengis.net/kml/2.2" xmlns:gx="http://www.google.com/kml/ext/2.2" xmlns:kml="http://www.opengis.net/kml/2.2" xmlns:atom="http://www.w3.org/2005/Atom"&gt;
&lt;Document&gt;
	&lt;name&gt;RUA BOM JESUS - PARQUE BRASIL - (154,20 m x 5,80 m).kmz&lt;/name&gt;
	&lt;StyleMap id="inline"&gt;
		&lt;Pair&gt;
			&lt;key&gt;normal&lt;/key&gt;
			&lt;styleUrl&gt;#inline0&lt;/styleUrl&gt;
		&lt;/Pair&gt;
		&lt;Pair&gt;
			&lt;key&gt;highlight&lt;/key&gt;
			&lt;styleUrl&gt;#inline1&lt;/styleUrl&gt;
		&lt;/Pair&gt;
	&lt;/StyleMap&gt;
	&lt;Style id="inline0"&gt;
		&lt;LineStyle&gt;
			&lt;color&gt;ff00ffff&lt;/color&gt;
			&lt;width&gt;5&lt;/width&gt;
		&lt;/LineStyle&gt;
		&lt;PolyStyle&gt;
			&lt;fill&gt;0&lt;/fill&gt;
		&lt;/PolyStyle&gt;
	&lt;/Style&gt;
	&lt;Style id="inline1"&gt;
		&lt;LineStyle&gt;
			&lt;color&gt;ff00ffff&lt;/color&gt;
			&lt;width&gt;5&lt;/width&gt;
		&lt;/LineStyle&gt;
		&lt;PolyStyle&gt;
			&lt;fill&gt;0&lt;/fill&gt;
		&lt;/PolyStyle&gt;
	&lt;/Style&gt;
	&lt;Placemark&gt;
		&lt;name&gt;Medida do caminho&lt;/name&gt;
		&lt;styleUrl&gt;#inline&lt;/styleUrl&gt;
		&lt;LineString&gt;
			&lt;tessellate&gt;1&lt;/tessellate&gt;
			&lt;coordinates&gt;
				-42.82675258743927,-4.996343130308336,0 -42.82661700695816,-4.996705149888648,0 -42.82644826890294,-4.996981762764634,0 -42.82635772896986,-4.997205780815711,0 -42.82619761087344,-4.997589367667251,0 
			&lt;/coordinates&gt;
		&lt;/LineString&gt;
		&lt;atom:link rel="app" href="https://www.google.com/earth/about/versions/#earth-pro" title="Google Earth Pro 7.3.6.10201"&gt;&lt;/atom:link&gt;
	&lt;/Placemark&gt;
&lt;/Document&gt;
&lt;/kml&gt;</t>
  </si>
  <si>
    <t>PAVIMENTAÇÃO EM PARALELEPÍPEDO DE 4.140,00 M² NO RESIDENCIAL LINDALMA SOARES - RUA EL SHADAY, ZONA NORTE DO MUNICÍPIO DE TERESINA – PI. CONT. 64/2024 - VM</t>
  </si>
  <si>
    <t>&lt;?xml version="1.0" encoding="UTF-8"?&gt;
&lt;kml xmlns="http://www.opengis.net/kml/2.2" xmlns:gx="http://www.google.com/kml/ext/2.2" xmlns:kml="http://www.opengis.net/kml/2.2" xmlns:atom="http://www.w3.org/2005/Atom"&gt;
&lt;Document&gt;
	&lt;name&gt;RUA EL SHADAY.kmz&lt;/name&gt;
	&lt;StyleMap id="m_ylw-pushpin580"&gt;
		&lt;Pair&gt;
			&lt;key&gt;normal&lt;/key&gt;
			&lt;styleUrl&gt;#s_ylw-pushpin5700&lt;/styleUrl&gt;
		&lt;/Pair&gt;
		&lt;Pair&gt;
			&lt;key&gt;highlight&lt;/key&gt;
			&lt;styleUrl&gt;#s_ylw-pushpin_hl56&lt;/styleUrl&gt;
		&lt;/Pair&gt;
	&lt;/StyleMap&gt;
	&lt;Style id="s_ylw-pushpin5700"&gt;
		&lt;IconStyle&gt;
			&lt;scale&gt;1.1&lt;/scale&gt;
			&lt;Icon&gt;
				&lt;href&gt;http://maps.google.com/mapfiles/kml/pushpin/ylw-pushpin.png&lt;/href&gt;
			&lt;/Icon&gt;
			&lt;hotSpot x="20" y="2" xunits="pixels" yunits="pixels"/&gt;
		&lt;/IconStyle&gt;
		&lt;LineStyle&gt;
			&lt;width&gt;10&lt;/width&gt;
		&lt;/LineStyle&gt;
	&lt;/Style&gt;
	&lt;Style id="s_ylw-pushpin_hl56"&gt;
		&lt;IconStyle&gt;
			&lt;scale&gt;1.3&lt;/scale&gt;
			&lt;Icon&gt;
				&lt;href&gt;http://maps.google.com/mapfiles/kml/pushpin/ylw-pushpin.png&lt;/href&gt;
			&lt;/Icon&gt;
			&lt;hotSpot x="20" y="2" xunits="pixels" yunits="pixels"/&gt;
		&lt;/IconStyle&gt;
		&lt;LineStyle&gt;
			&lt;width&gt;10&lt;/width&gt;
		&lt;/LineStyle&gt;
	&lt;/Style&gt;
	&lt;Placemark&gt;
		&lt;name&gt;RUA EL SHADAY&lt;/name&gt;
		&lt;styleUrl&gt;#m_ylw-pushpin580&lt;/styleUrl&gt;
		&lt;LineString&gt;
			&lt;tessellate&gt;1&lt;/tessellate&gt;
			&lt;coordinates&gt;
				-42.83448527533233,-5.016652041367386,0 -42.83532016093834,-5.016923383248071,0 -42.83582277700447,-5.017041040593718,0 -42.83630038583036,-5.017139643452249,0 -42.83690385606238,-5.017245708368621,0 -42.83724912642568,-5.017355605345721,0 -42.83750619204311,-5.017470941265183,0 -42.83792683840483,-5.017600369031952,0 -42.83837896800411,-5.017730095054216,0 
			&lt;/coordinates&gt;
		&lt;/LineString&gt;
		&lt;atom:link rel="app" href="https://www.google.com/earth/about/versions/#earth-pro" title="Google Earth Pro 7.3.6.10201"&gt;&lt;/atom:link&gt;
	&lt;/Placemark&gt;
&lt;/Document&gt;
&lt;/kml&gt;</t>
  </si>
  <si>
    <t>PAVIMENTAÇÃO EM PARALELEPÍPEDO NA ZONA URBANA DO MUNICÍPIO DE TERESINA – PI, NO RESIDENCIAL LINDALMA SOARES, COM ÁREA TOTAL DE 6.181,60 M². CONT. Nº 39/2025 - LAURITA. (OPA)</t>
  </si>
  <si>
    <t>&lt;?xml version="1.0" encoding="UTF-8"?&gt;
&lt;kml xmlns="http://www.opengis.net/kml/2.2" xmlns:gx="http://www.google.com/kml/ext/2.2" xmlns:kml="http://www.opengis.net/kml/2.2" xmlns:atom="http://www.w3.org/2005/Atom"&gt;
&lt;Document&gt;
	&lt;name&gt;596 ASS. DO DESEN. COMUNITÁRIO DOS MORADORES DO RESIDENCIAL LINDALMA SOARES.kmz&lt;/name&gt;
	&lt;StyleMap id="m_ylw-pushpin1"&gt;
		&lt;Pair&gt;
			&lt;key&gt;normal&lt;/key&gt;
			&lt;styleUrl&gt;#s_ylw-pushpin0&lt;/styleUrl&gt;
		&lt;/Pair&gt;
		&lt;Pair&gt;
			&lt;key&gt;highlight&lt;/key&gt;
			&lt;styleUrl&gt;#s_ylw-pushpin_hl8&lt;/styleUrl&gt;
		&lt;/Pair&gt;
	&lt;/StyleMap&gt;
	&lt;StyleMap id="msn_ylw-pushpin"&gt;
		&lt;Pair&gt;
			&lt;key&gt;normal&lt;/key&gt;
			&lt;styleUrl&gt;#sn_ylw-pushpin8&lt;/styleUrl&gt;
		&lt;/Pair&gt;
		&lt;Pair&gt;
			&lt;key&gt;highlight&lt;/key&gt;
			&lt;styleUrl&gt;#sh_ylw-pushpin10&lt;/styleUrl&gt;
		&lt;/Pair&gt;
	&lt;/StyleMap&gt;
	&lt;StyleMap id="msn_ylw-pushpin0"&gt;
		&lt;Pair&gt;
			&lt;key&gt;normal&lt;/key&gt;
			&lt;styleUrl&gt;#sn_ylw-pushpin16&lt;/styleUrl&gt;
		&lt;/Pair&gt;
		&lt;Pair&gt;
			&lt;key&gt;highlight&lt;/key&gt;
			&lt;styleUrl&gt;#sh_ylw-pushpin4&lt;/styleUrl&gt;
		&lt;/Pair&gt;
	&lt;/StyleMap&gt;
	&lt;StyleMap id="msn_ylw-pushpin10"&gt;
		&lt;Pair&gt;
			&lt;key&gt;normal&lt;/key&gt;
			&lt;styleUrl&gt;#sn_ylw-pushpin5&lt;/styleUrl&gt;
		&lt;/Pair&gt;
		&lt;Pair&gt;
			&lt;key&gt;highlight&lt;/key&gt;
			&lt;styleUrl&gt;#sh_ylw-pushpin6&lt;/styleUrl&gt;
		&lt;/Pair&gt;
	&lt;/StyleMap&gt;
	&lt;Style id="s_ylw-pushpin0"&gt;
		&lt;IconStyle&gt;
			&lt;scale&gt;1.1&lt;/scale&gt;
			&lt;Icon&gt;
				&lt;href&gt;http://maps.google.com/mapfiles/kml/pushpin/ylw-pushpin.png&lt;/href&gt;
			&lt;/Icon&gt;
			&lt;hotSpot x="20" y="2" xunits="pixels" yunits="pixels"/&gt;
		&lt;/IconStyle&gt;
	&lt;/Style&gt;
	&lt;Style id="s_ylw-pushpin_hl8"&gt;
		&lt;IconStyle&gt;
			&lt;scale&gt;1.3&lt;/scale&gt;
			&lt;Icon&gt;
				&lt;href&gt;http://maps.google.com/mapfiles/kml/pushpin/ylw-pushpin.png&lt;/href&gt;
			&lt;/Icon&gt;
			&lt;hotSpot x="20" y="2" xunits="pixels" yunits="pixels"/&gt;
		&lt;/IconStyle&gt;
	&lt;/Style&gt;
	&lt;Style id="sh_ylw-pushpin10"&gt;
		&lt;IconStyle&gt;
			&lt;scale&gt;1.3&lt;/scale&gt;
			&lt;Icon&gt;
				&lt;href&gt;http://maps.google.com/mapfiles/kml/pushpin/ylw-pushpin.png&lt;/href&gt;
			&lt;/Icon&gt;
			&lt;hotSpot x="20" y="2" xunits="pixels" yunits="pixels"/&gt;
		&lt;/IconStyle&gt;
		&lt;LineStyle&gt;
			&lt;color&gt;ff0000ff&lt;/color&gt;
			&lt;width&gt;6&lt;/width&gt;
		&lt;/LineStyle&gt;
	&lt;/Style&gt;
	&lt;Style id="sh_ylw-pushpin4"&gt;
		&lt;IconStyle&gt;
			&lt;scale&gt;1.3&lt;/scale&gt;
			&lt;Icon&gt;
				&lt;href&gt;http://maps.google.com/mapfiles/kml/pushpin/ylw-pushpin.png&lt;/href&gt;
			&lt;/Icon&gt;
			&lt;hotSpot x="20" y="2" xunits="pixels" yunits="pixels"/&gt;
		&lt;/IconStyle&gt;
		&lt;LineStyle&gt;
			&lt;color&gt;ffffff00&lt;/color&gt;
			&lt;width&gt;6&lt;/width&gt;
		&lt;/LineStyle&gt;
	&lt;/Style&gt;
	&lt;Style id="sh_ylw-pushpin6"&gt;
		&lt;IconStyle&gt;
			&lt;scale&gt;1.3&lt;/scale&gt;
			&lt;Icon&gt;
				&lt;href&gt;http://maps.google.com/mapfiles/kml/pushpin/ylw-pushpin.png&lt;/href&gt;
			&lt;/Icon&gt;
			&lt;hotSpot x="20" y="2" xunits="pixels" yunits="pixels"/&gt;
		&lt;/IconStyle&gt;
		&lt;LineStyle&gt;
			&lt;color&gt;ff00ffff&lt;/color&gt;
			&lt;width&gt;6&lt;/width&gt;
		&lt;/LineStyle&gt;
	&lt;/Style&gt;
	&lt;Style id="sn_ylw-pushpin16"&gt;
		&lt;IconStyle&gt;
			&lt;scale&gt;1.1&lt;/scale&gt;
			&lt;Icon&gt;
				&lt;href&gt;http://maps.google.com/mapfiles/kml/pushpin/ylw-pushpin.png&lt;/href&gt;
			&lt;/Icon&gt;
			&lt;hotSpot x="20" y="2" xunits="pixels" yunits="pixels"/&gt;
		&lt;/IconStyle&gt;
		&lt;LineStyle&gt;
			&lt;color&gt;ffffff00&lt;/color&gt;
			&lt;width&gt;6&lt;/width&gt;
		&lt;/LineStyle&gt;
	&lt;/Style&gt;
	&lt;Style id="sn_ylw-pushpin5"&gt;
		&lt;IconStyle&gt;
			&lt;scale&gt;1.1&lt;/scale&gt;
			&lt;Icon&gt;
				&lt;href&gt;http://maps.google.com/mapfiles/kml/pushpin/ylw-pushpin.png&lt;/href&gt;
			&lt;/Icon&gt;
			&lt;hotSpot x="20" y="2" xunits="pixels" yunits="pixels"/&gt;
		&lt;/IconStyle&gt;
		&lt;LineStyle&gt;
			&lt;color&gt;ff00ffff&lt;/color&gt;
			&lt;width&gt;6&lt;/width&gt;
		&lt;/LineStyle&gt;
	&lt;/Style&gt;
	&lt;Style id="sn_ylw-pushpin8"&gt;
		&lt;IconStyle&gt;
			&lt;scale&gt;1.1&lt;/scale&gt;
			&lt;Icon&gt;
				&lt;href&gt;http://maps.google.com/mapfiles/kml/pushpin/ylw-pushpin.png&lt;/href&gt;
			&lt;/Icon&gt;
			&lt;hotSpot x="20" y="2" xunits="pixels" yunits="pixels"/&gt;
		&lt;/IconStyle&gt;
		&lt;LineStyle&gt;
			&lt;color&gt;ff0000ff&lt;/color&gt;
			&lt;width&gt;6&lt;/width&gt;
		&lt;/LineStyle&gt;
	&lt;/Style&gt;
	&lt;Folder&gt;
		&lt;name&gt;596 ASS. DO DESEN. COMUNITÁRIO DOS MORADORES DO RESIDENCIAL LINDALMA SOARES&lt;/name&gt;
		&lt;visibility&gt;0&lt;/visibility&gt;
		&lt;Folder&gt;
			&lt;name&gt;Rua Santa Luzia&lt;/name&gt;
			&lt;visibility&gt;0&lt;/visibility&gt;
			&lt;open&gt;1&lt;/open&gt;
			&lt;Placemark&gt;
				&lt;name&gt;-5.014175 ; -42.835467&lt;/name&gt;
				&lt;visibility&gt;0&lt;/visibility&gt;
				&lt;LookAt&gt;
					&lt;longitude&gt;-42.71368715306529&lt;/longitude&gt;
					&lt;latitude&gt;-4.936364798360813&lt;/latitude&gt;
					&lt;altitude&gt;0&lt;/altitude&gt;
					&lt;heading&gt;-0.009370871937027665&lt;/heading&gt;
					&lt;tilt&gt;23.84980145915693&lt;/tilt&gt;
					&lt;range&gt;522.6731113839094&lt;/range&gt;
					&lt;gx:altitudeMode&gt;relativeToSeaFloor&lt;/gx:altitudeMode&gt;
				&lt;/LookAt&gt;
				&lt;styleUrl&gt;#m_ylw-pushpin1&lt;/styleUrl&gt;
				&lt;Point&gt;
					&lt;gx:drawOrder&gt;1&lt;/gx:drawOrder&gt;
					&lt;coordinates&gt;-42.835467,-5.014175,0&lt;/coordinates&gt;
				&lt;/Point&gt;
			&lt;/Placemark&gt;
			&lt;Placemark&gt;
				&lt;name&gt;-5.016752 ; -42.834945&lt;/name&gt;
				&lt;visibility&gt;0&lt;/visibility&gt;
				&lt;LookAt&gt;
					&lt;longitude&gt;-42.71368715306529&lt;/longitude&gt;
					&lt;latitude&gt;-4.936364798360813&lt;/latitude&gt;
					&lt;altitude&gt;0&lt;/altitude&gt;
					&lt;heading&gt;-0.009370871937027665&lt;/heading&gt;
					&lt;tilt&gt;23.84980145915693&lt;/tilt&gt;
					&lt;range&gt;522.6731113839094&lt;/range&gt;
					&lt;gx:altitudeMode&gt;relativeToSeaFloor&lt;/gx:altitudeMode&gt;
				&lt;/LookAt&gt;
				&lt;styleUrl&gt;#m_ylw-pushpin1&lt;/styleUrl&gt;
				&lt;Point&gt;
					&lt;gx:drawOrder&gt;1&lt;/gx:drawOrder&gt;
					&lt;coordinates&gt;-42.834945,-5.016752,0&lt;/coordinates&gt;
				&lt;/Point&gt;
			&lt;/Placemark&gt;
			&lt;Placemark&gt;
				&lt;name&gt;Rua Santa Luzia&lt;/name&gt;
				&lt;visibility&gt;0&lt;/visibility&gt;
				&lt;styleUrl&gt;#msn_ylw-pushpin0&lt;/styleUrl&gt;
				&lt;LineString&gt;
					&lt;tessellate&gt;1&lt;/tessellate&gt;
					&lt;coordinates&gt;
						-42.83542213703495,-5.014094017108495,0 -42.83493405636025,-5.016747147912334,0 
					&lt;/coordinates&gt;
				&lt;/LineString&gt;
			&lt;/Placemark&gt;
		&lt;/Folder&gt;
		&lt;Folder&gt;
			&lt;name&gt;Rua São José&lt;/name&gt;
			&lt;visibility&gt;0&lt;/visibility&gt;
			&lt;open&gt;1&lt;/open&gt;
			&lt;Placemark&gt;
				&lt;name&gt;-5.014422 ; -42.836706&lt;/name&gt;
				&lt;visibility&gt;0&lt;/visibility&gt;
				&lt;LookAt&gt;
					&lt;longitude&gt;-42.71368715306529&lt;/longitude&gt;
					&lt;latitude&gt;-4.936364798360813&lt;/latitude&gt;
					&lt;altitude&gt;0&lt;/altitude&gt;
					&lt;heading&gt;-0.009370871937027665&lt;/heading&gt;
					&lt;tilt&gt;23.84980145915693&lt;/tilt&gt;
					&lt;range&gt;522.6731113839094&lt;/range&gt;
					&lt;gx:altitudeMode&gt;relativeToSeaFloor&lt;/gx:altitudeMode&gt;
				&lt;/LookAt&gt;
				&lt;styleUrl&gt;#m_ylw-pushpin1&lt;/styleUrl&gt;
				&lt;Point&gt;
					&lt;gx:drawOrder&gt;1&lt;/gx:drawOrder&gt;
					&lt;coordinates&gt;-42.836706,-5.014422,0&lt;/coordinates&gt;
				&lt;/Point&gt;
			&lt;/Placemark&gt;
			&lt;Placemark&gt;
				&lt;name&gt;-5.017169 ; -42.836217&lt;/name&gt;
				&lt;visibility&gt;0&lt;/visibility&gt;
				&lt;LookAt&gt;
					&lt;longitude&gt;-42.71368715306529&lt;/longitude&gt;
					&lt;latitude&gt;-4.936364798360813&lt;/latitude&gt;
					&lt;altitude&gt;0&lt;/altitude&gt;
					&lt;heading&gt;-0.009370871937027665&lt;/heading&gt;
					&lt;tilt&gt;23.84980145915693&lt;/tilt&gt;
					&lt;range&gt;522.6731113839094&lt;/range&gt;
					&lt;gx:altitudeMode&gt;relativeToSeaFloor&lt;/gx:altitudeMode&gt;
				&lt;/LookAt&gt;
				&lt;styleUrl&gt;#m_ylw-pushpin1&lt;/styleUrl&gt;
				&lt;Point&gt;
					&lt;gx:drawOrder&gt;1&lt;/gx:drawOrder&gt;
					&lt;coordinates&gt;-42.836217,-5.017169,0&lt;/coordinates&gt;
				&lt;/Point&gt;
			&lt;/Placemark&gt;
			&lt;Placemark&gt;
				&lt;name&gt;Rua São José&lt;/name&gt;
				&lt;visibility&gt;0&lt;/visibility&gt;
				&lt;styleUrl&gt;#msn_ylw-pushpin10&lt;/styleUrl&gt;
				&lt;LineString&gt;
					&lt;tessellate&gt;1&lt;/tessellate&gt;
					&lt;coordinates&gt;
						-42.83668537878835,-5.014333769694471,0 -42.83618518780588,-5.017323235548652,0 
					&lt;/coordinates&gt;
				&lt;/LineString&gt;
			&lt;/Placemark&gt;
		&lt;/Folder&gt;
		&lt;Folder&gt;
			&lt;name&gt;Rua da Liberdade&lt;/name&gt;
			&lt;visibility&gt;0&lt;/visibility&gt;
			&lt;open&gt;1&lt;/open&gt;
			&lt;Placemark&gt;
				&lt;name&gt;-5.018088° ; -42.837769°&lt;/name&gt;
				&lt;visibility&gt;0&lt;/visibility&gt;
				&lt;LookAt&gt;
					&lt;longitude&gt;-42.71368715306529&lt;/longitude&gt;
					&lt;latitude&gt;-4.936364798360813&lt;/latitude&gt;
					&lt;altitude&gt;0&lt;/altitude&gt;
					&lt;heading&gt;-0.009370871937027665&lt;/heading&gt;
					&lt;tilt&gt;23.84980145915693&lt;/tilt&gt;
					&lt;range&gt;522.6731113839094&lt;/range&gt;
					&lt;gx:altitudeMode&gt;relativeToSeaFloor&lt;/gx:altitudeMode&gt;
				&lt;/LookAt&gt;
				&lt;styleUrl&gt;#m_ylw-pushpin1&lt;/styleUrl&gt;
				&lt;Point&gt;
					&lt;gx:drawOrder&gt;1&lt;/gx:drawOrder&gt;
					&lt;coordinates&gt;-42.837769,-5.018088,0&lt;/coordinates&gt;
				&lt;/Point&gt;
			&lt;/Placemark&gt;
			&lt;Placemark&gt;
				&lt;name&gt;-5.017114° ; -42.834447°&lt;/name&gt;
				&lt;visibility&gt;0&lt;/visibility&gt;
				&lt;LookAt&gt;
					&lt;longitude&gt;-42.71368715306529&lt;/longitude&gt;
					&lt;latitude&gt;-4.936364798360813&lt;/latitude&gt;
					&lt;altitude&gt;0&lt;/altitude&gt;
					&lt;heading&gt;-0.009370871937027665&lt;/heading&gt;
					&lt;tilt&gt;23.84980145915693&lt;/tilt&gt;
					&lt;range&gt;522.6731113839094&lt;/range&gt;
					&lt;gx:altitudeMode&gt;relativeToSeaFloor&lt;/gx:altitudeMode&gt;
				&lt;/LookAt&gt;
				&lt;styleUrl&gt;#m_ylw-pushpin1&lt;/styleUrl&gt;
				&lt;Point&gt;
					&lt;gx:drawOrder&gt;1&lt;/gx:drawOrder&gt;
					&lt;coordinates&gt;-42.834447,-5.017114,0&lt;/coordinates&gt;
				&lt;/Point&gt;
			&lt;/Placemark&gt;
			&lt;Placemark&gt;
				&lt;name&gt;Rua da Liberdade&lt;/name&gt;
				&lt;visibility&gt;0&lt;/visibility&gt;
				&lt;styleUrl&gt;#msn_ylw-pushpin&lt;/styleUrl&gt;
				&lt;LineString&gt;
					&lt;tessellate&gt;1&lt;/tessellate&gt;
					&lt;coordinates&gt;
						-42.8377825728199,-5.018072303311517,0 -42.83429954453675,-5.017013780261895,0 
					&lt;/coordinates&gt;
				&lt;/LineString&gt;
			&lt;/Placemark&gt;
		&lt;/Folder&gt;
	&lt;/Folder&gt;
&lt;/Document&gt;
&lt;/kml&gt;</t>
  </si>
  <si>
    <t>PAVIMENTAÇÃO EM PARALELEPÍPEDO DE 11.664,00 M² NO RESIDENCIAL LINDALMA SOARES, ZONA NORTE DO MUNICÍPIO DE TERESINA - PI. CONT. 57/2024 - LAURITA</t>
  </si>
  <si>
    <t>&lt;?xml version="1.0" encoding="UTF-8"?&gt;
&lt;kml xmlns="http://www.opengis.net/kml/2.2" xmlns:gx="http://www.google.com/kml/ext/2.2" xmlns:kml="http://www.opengis.net/kml/2.2" xmlns:atom="http://www.w3.org/2005/Atom"&gt;
&lt;Document&gt;
	&lt;name&gt;LINDALMA SOARES.kmz&lt;/name&gt;
	&lt;open&gt;1&lt;/open&gt;
	&lt;atom:link rel="app" href="https://www.google.com/earth/about/versions/#earth-pro" title="Google Earth Pro 7.3.6.10441"&gt;&lt;/atom:link&gt;
	&lt;StyleMap id="m_ylw-pushpin58"&gt;
		&lt;Pair&gt;
			&lt;key&gt;normal&lt;/key&gt;
			&lt;styleUrl&gt;#s_ylw-pushpin570&lt;/styleUrl&gt;
		&lt;/Pair&gt;
		&lt;Pair&gt;
			&lt;key&gt;highlight&lt;/key&gt;
			&lt;styleUrl&gt;#s_ylw-pushpin_hl56&lt;/styleUrl&gt;
		&lt;/Pair&gt;
	&lt;/StyleMap&gt;
	&lt;Style id="s_ylw-pushpin570"&gt;
		&lt;IconStyle&gt;
			&lt;scale&gt;1.1&lt;/scale&gt;
			&lt;Icon&gt;
				&lt;href&gt;http://maps.google.com/mapfiles/kml/pushpin/ylw-pushpin.png&lt;/href&gt;
			&lt;/Icon&gt;
			&lt;hotSpot x="20" y="2" xunits="pixels" yunits="pixels"/&gt;
		&lt;/IconStyle&gt;
		&lt;LineStyle&gt;
			&lt;width&gt;10&lt;/width&gt;
		&lt;/LineStyle&gt;
	&lt;/Style&gt;
	&lt;Style id="s_ylw-pushpin_hl56"&gt;
		&lt;IconStyle&gt;
			&lt;scale&gt;1.3&lt;/scale&gt;
			&lt;Icon&gt;
				&lt;href&gt;http://maps.google.com/mapfiles/kml/pushpin/ylw-pushpin.png&lt;/href&gt;
			&lt;/Icon&gt;
			&lt;hotSpot x="20" y="2" xunits="pixels" yunits="pixels"/&gt;
		&lt;/IconStyle&gt;
		&lt;LineStyle&gt;
			&lt;width&gt;10&lt;/width&gt;
		&lt;/LineStyle&gt;
	&lt;/Style&gt;
	&lt;Folder&gt;
		&lt;name&gt;LINDALMA SOARES&lt;/name&gt;
		&lt;open&gt;1&lt;/open&gt;
		&lt;Placemark&gt;
			&lt;name&gt;RUA FIRMINO FILHO&lt;/name&gt;
			&lt;styleUrl&gt;#m_ylw-pushpin58&lt;/styleUrl&gt;
			&lt;LineString&gt;
				&lt;tessellate&gt;1&lt;/tessellate&gt;
				&lt;coordinates&gt;
					-42.84142805874793,-5.012363999164834,0 -42.84070000491689,-5.012473931838685,0 -42.83849894104797,-5.012118282180683,0 -42.83692281661214,-5.011807465833881,0 -42.83604042057406,-5.011705672784876,0 -42.83530365499345,-5.011638536870983,0 
				&lt;/coordinates&gt;
			&lt;/LineString&gt;
		&lt;/Placemark&gt;
		&lt;Placemark&gt;
			&lt;name&gt;RUA CABEÇA DE BOI&lt;/name&gt;
			&lt;styleUrl&gt;#m_ylw-pushpin58&lt;/styleUrl&gt;
			&lt;LineString&gt;
				&lt;tessellate&gt;1&lt;/tessellate&gt;
				&lt;coordinates&gt;
					-42.84018836294459,-5.010905975248655,0 -42.8381435580534,-5.010559587702591,0 -42.83726303978619,-5.010263135274445,0 -42.83679375219398,-5.010289848080293,0 -42.83638788440313,-5.010223712013454,0 -42.83609933756494,-5.010150897347054,0 -42.83587250694813,-5.010164326905214,0 -42.83545903849665,-5.01007475513666,0 
				&lt;/coordinates&gt;
			&lt;/LineString&gt;
		&lt;/Placemark&gt;
		&lt;Placemark&gt;
			&lt;name&gt;RUA SANTA BARBARA&lt;/name&gt;
			&lt;styleUrl&gt;#m_ylw-pushpin58&lt;/styleUrl&gt;
			&lt;LineString&gt;
				&lt;tessellate&gt;1&lt;/tessellate&gt;
				&lt;coordinates&gt;
					-42.83947636278537,-5.015926150333242,0 -42.83884103250264,-5.015531696141074,0 -42.83858160403133,-5.015475293640121,0 -42.8374468323602,-5.01520560476309,0 -42.83672404913387,-5.014896646651501,0 -42.83673981347751,-5.014378861972507,0 -42.83619991616969,-5.014283123206035,0 -42.83591992009053,-5.014211894617256,0 -42.83549725218857,-5.014107663030019,0 -42.83501043563212,-5.014066129589587,0 
				&lt;/coordinates&gt;
			&lt;/LineString&gt;
		&lt;/Placemark&gt;
		&lt;Placemark&gt;
			&lt;name&gt;RUA SÃO BENEDITO&lt;/name&gt;
			&lt;styleUrl&gt;#m_ylw-pushpin58&lt;/styleUrl&gt;
			&lt;LineString&gt;
				&lt;tessellate&gt;1&lt;/tessellate&gt;
				&lt;coordinates&gt;
					-42.83793546508574,-5.003804291402445,0 -42.83836595092096,-5.004025629529244,0 -42.83938661508991,-5.004412967441631,0 -42.83998373889422,-5.004585884600385,0 -42.84039339458161,-5.004613549439847,0 
				&lt;/coordinates&gt;
			&lt;/LineString&gt;
		&lt;/Placemark&gt;
		&lt;Placemark&gt;
			&lt;name&gt;RUA EMANUEL CARVALHO&lt;/name&gt;
			&lt;styleUrl&gt;#m_ylw-pushpin58&lt;/styleUrl&gt;
			&lt;LineString&gt;
				&lt;tessellate&gt;1&lt;/tessellate&gt;
				&lt;coordinates&gt;
					-42.83790769596326,-5.004779564201944,0 -42.83906028478108,-5.005388239919032,0 -42.83975461739374,-5.00572716200297,0 -42.84000457787374,-5.005789412846527,0 
				&lt;/coordinates&gt;
			&lt;/LineString&gt;
		&lt;/Placemark&gt;
		&lt;Placemark&gt;
			&lt;name&gt;RUA DAS PALMEIRAS&lt;/name&gt;
			&lt;styleUrl&gt;#m_ylw-pushpin58&lt;/styleUrl&gt;
			&lt;LineString&gt;
				&lt;tessellate&gt;1&lt;/tessellate&gt;
				&lt;coordinates&gt;
					-42.83815071017496,-5.004378388164351,0 -42.83833817962627,-5.004537474508783,0 -42.83869228754575,-5.004648142368755,0 -42.83926858095902,-5.004855644291197,0 -42.83991430867501,-5.004993977442419,0 -42.84024758871031,-5.005042393483568,0 
				&lt;/coordinates&gt;
			&lt;/LineString&gt;
		&lt;/Placemark&gt;
	&lt;/Folder&gt;
&lt;/Document&gt;
&lt;/kml&gt;</t>
  </si>
  <si>
    <t>PAVIMENTAÇÃO EM PARALELEPIPEDO COM EXTENSÃO DE 3.262,00 M², NA ASSOCIAÇÃO DOS IDOSOS DO BAIRRO SANTA CLARA E ADJACÊNCIAS (PARQUE JACINTA) NO MUNICIPIO DE TERESINA-PI, CONTRATO 14/2024 - FRANCA.</t>
  </si>
  <si>
    <t>PARQUE JACINTA</t>
  </si>
  <si>
    <t>&lt;?xml version="1.0" encoding="UTF-8"?&gt;
&lt;kml xmlns="http://www.opengis.net/kml/2.2" xmlns:gx="http://www.google.com/kml/ext/2.2" xmlns:kml="http://www.opengis.net/kml/2.2" xmlns:atom="http://www.w3.org/2005/Atom"&gt;
&lt;Document&gt;
	&lt;name&gt;PQ JACINTA ANDRADE.kmz&lt;/name&gt;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&lt;LineStyle&gt;
			&lt;color&gt;ff00ffff&lt;/color&gt;
			&lt;width&gt;6&lt;/width&gt;
		&lt;/LineStyle&gt;
	&lt;/Style&gt;
	&lt;Style id="s_ylw-pushpin_hl"&gt;
		&lt;IconStyle&gt;
			&lt;scale&gt;1.3&lt;/scale&gt;
			&lt;Icon&gt;
				&lt;href&gt;http://maps.google.com/mapfiles/kml/pushpin/ylw-pushpin.png&lt;/href&gt;
			&lt;/Icon&gt;
			&lt;hotSpot x="20" y="2" xunits="pixels" yunits="pixels"/&gt;
		&lt;/IconStyle&gt;
		&lt;LineStyle&gt;
			&lt;color&gt;ff00ffff&lt;/color&gt;
			&lt;width&gt;6&lt;/width&gt;
		&lt;/LineStyle&gt;
	&lt;/Style&gt;
	&lt;Folder&gt;
		&lt;name&gt;PQ JACINTA ANDRADE&lt;/name&gt;
		&lt;open&gt;1&lt;/open&gt;
		&lt;Placemark&gt;
			&lt;name&gt;R MAJOR ULISSES PEREIRA&lt;/name&gt;
			&lt;styleUrl&gt;#m_ylw-pushpin&lt;/styleUrl&gt;
			&lt;LineString&gt;
				&lt;tessellate&gt;1&lt;/tessellate&gt;
				&lt;coordinates&gt;
					-42.76416827500118,-5.177278068551153,0 -42.76466977303667,-5.175625301300518,0 
				&lt;/coordinates&gt;
			&lt;/LineString&gt;
		&lt;/Placemark&gt;
		&lt;Placemark&gt;
			&lt;name&gt;R CARIRI - TRECHO 01&lt;/name&gt;
			&lt;styleUrl&gt;#m_ylw-pushpin&lt;/styleUrl&gt;
			&lt;LineString&gt;
				&lt;tessellate&gt;1&lt;/tessellate&gt;
				&lt;coordinates&gt;
					-42.76463295706705,-5.175629644819183,0 -42.76409579629209,-5.175457352371905,0 
				&lt;/coordinates&gt;
			&lt;/LineString&gt;
		&lt;/Placemark&gt;
		&lt;Placemark&gt;
			&lt;name&gt;R CARIRI - TRECHO 02&lt;/name&gt;
			&lt;styleUrl&gt;#m_ylw-pushpin&lt;/styleUrl&gt;
			&lt;LineString&gt;
				&lt;tessellate&gt;1&lt;/tessellate&gt;
				&lt;coordinates&gt;
					-42.76402570448005,-5.175434671928603,0 -42.76346986890332,-5.17527144817138,0 
				&lt;/coordinates&gt;
			&lt;/LineString&gt;
		&lt;/Placemark&gt;
		&lt;Placemark&gt;
			&lt;name&gt;R PAULO VELOSO DO VALE&lt;/name&gt;
			&lt;styleUrl&gt;#m_ylw-pushpin&lt;/styleUrl&gt;
			&lt;LineString&gt;
				&lt;tessellate&gt;1&lt;/tessellate&gt;
				&lt;coordinates&gt;
					-42.76379066369342,-5.171805085878092,0 -42.76367714979514,-5.172305617409033,0 
				&lt;/coordinates&gt;
			&lt;/LineString&gt;
		&lt;/Placemark&gt;
		&lt;Placemark&gt;
			&lt;name&gt;R EURIPEDES ROSA&lt;/name&gt;
			&lt;styleUrl&gt;#m_ylw-pushpin&lt;/styleUrl&gt;
			&lt;LineString&gt;
				&lt;tessellate&gt;1&lt;/tessellate&gt;
				&lt;coordinates&gt;
					-42.76328153928254,-5.173473516427656,0 -42.76266039943273,-5.173321250353275,0 
				&lt;/coordinates&gt;
			&lt;/LineString&gt;
		&lt;/Placemark&gt;
		&lt;atom:link rel="app" href="https://www.google.com/earth/about/versions/#earth-pro" title="Google Earth Pro 7.3.6.10441"&gt;&lt;/atom:link&gt;
	&lt;/Folder&gt;
&lt;/Document&gt;
&lt;/kml&gt;</t>
  </si>
  <si>
    <t>CONSTRUÇÃO DE ACADEMIAS NO MUNICÍPIO DE TERESINA - PI. (10 UND.)</t>
  </si>
  <si>
    <t>PARQUE POTI,SANTA MARIA</t>
  </si>
  <si>
    <t>SUDESTE,NORTE</t>
  </si>
  <si>
    <t>&lt;?xml version="1.0" encoding="UTF-8"?&gt;
&lt;kml xmlns="http://www.opengis.net/kml/2.2" xmlns:gx="http://www.google.com/kml/ext/2.2" xmlns:kml="http://www.opengis.net/kml/2.2" xmlns:atom="http://www.w3.org/2005/Atom"&gt;
&lt;Document id="document"&gt;
	&lt;name&gt;Mapa sem título&lt;/name&gt;
	&lt;gx:CascadingStyle kml:id="__managed_style_05F4616D3F3F14507F90_highlight"&gt;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kml:id="__managed_style_05F4616D3F3F14507F90_normal"&gt;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id="__managed_style_05F4616D3F3F14507F90"&gt;
		&lt;Pair&gt;
			&lt;key&gt;normal&lt;/key&gt;
			&lt;styleUrl&gt;#__managed_style_05F4616D3F3F14507F90_normal&lt;/styleUrl&gt;
		&lt;/Pair&gt;
		&lt;Pair&gt;
			&lt;key&gt;highlight&lt;/key&gt;
			&lt;styleUrl&gt;#__managed_style_05F4616D3F3F14507F90_highlight&lt;/styleUrl&gt;
		&lt;/Pair&gt;
	&lt;/StyleMap&gt;
	&lt;Placemark id="08BD26E3433F14507F7B"&gt;
		&lt;name&gt;5°06&amp;apos;21.1&amp;quot;S 42°44&amp;apos;16.2&amp;quot;W&lt;/name&gt;
		&lt;LookAt&gt;
			&lt;longitude&gt;-42.737825&lt;/longitude&gt;
			&lt;latitude&gt;-5.105864&lt;/latitude&gt;
			&lt;altitude&gt;0&lt;/altitude&gt;
			&lt;heading&gt;0&lt;/heading&gt;
			&lt;tilt&gt;0&lt;/tilt&gt;
			&lt;gx:fovy&gt;35&lt;/gx:fovy&gt;
			&lt;range&gt;1051.849325990405&lt;/range&gt;
			&lt;altitudeMode&gt;relativeToGround&lt;/altitudeMode&gt;
		&lt;/LookAt&gt;
		&lt;styleUrl&gt;#__managed_style_05F4616D3F3F14507F90&lt;/styleUrl&gt;
		&lt;Point&gt;
			&lt;extrude&gt;1&lt;/extrude&gt;
			&lt;coordinates&gt;-42.737825,-5.105864,0&lt;/coordinates&gt;
		&lt;/Point&gt;
	&lt;/Placemark&gt;
	&lt;Placemark id="08616607063F14517759"&gt;
		&lt;name&gt;5°13&amp;apos;09.4&amp;quot;S 42°44&amp;apos;28.7&amp;quot;W&lt;/name&gt;
		&lt;LookAt&gt;
			&lt;longitude&gt;-42.741303&lt;/longitude&gt;
			&lt;latitude&gt;-5.219271999999999&lt;/latitude&gt;
			&lt;altitude&gt;0&lt;/altitude&gt;
			&lt;heading&gt;0&lt;/heading&gt;
			&lt;tilt&gt;0&lt;/tilt&gt;
			&lt;gx:fovy&gt;35&lt;/gx:fovy&gt;
			&lt;range&gt;1051.638774362866&lt;/range&gt;
			&lt;altitudeMode&gt;relativeToGround&lt;/altitudeMode&gt;
		&lt;/LookAt&gt;
		&lt;styleUrl&gt;#__managed_style_05F4616D3F3F14507F90&lt;/styleUrl&gt;
		&lt;Point&gt;
			&lt;extrude&gt;1&lt;/extrude&gt;
			&lt;coordinates&gt;-42.74130299999999,-5.219272,0&lt;/coordinates&gt;
		&lt;/Point&gt;
	&lt;/Placemark&gt;
	&lt;Placemark id="0E36B3D2D43F14526A9C"&gt;
		&lt;name&gt;5°10&amp;apos;52.6&amp;quot;S 42°44&amp;apos;25.5&amp;quot;W&lt;/name&gt;
		&lt;LookAt&gt;
			&lt;longitude&gt;-42.740406&lt;/longitude&gt;
			&lt;latitude&gt;-5.181268999999999&lt;/latitude&gt;
			&lt;altitude&gt;0&lt;/altitude&gt;
			&lt;heading&gt;0&lt;/heading&gt;
			&lt;tilt&gt;0&lt;/tilt&gt;
			&lt;gx:fovy&gt;35&lt;/gx:fovy&gt;
			&lt;range&gt;1051.70984314872&lt;/range&gt;
			&lt;altitudeMode&gt;relativeToGround&lt;/altitudeMode&gt;
		&lt;/LookAt&gt;
		&lt;styleUrl&gt;#__managed_style_05F4616D3F3F14507F90&lt;/styleUrl&gt;
		&lt;Point&gt;
			&lt;extrude&gt;1&lt;/extrude&gt;
			&lt;coordinates&gt;-42.740406,-5.181268999999999,0&lt;/coordinates&gt;
		&lt;/Point&gt;
	&lt;/Placemark&gt;
	&lt;Placemark id="01129CE21B3F14533DF4"&gt;
		&lt;name&gt;4°59&amp;apos;23.0&amp;quot;S 42°49&amp;apos;45.7&amp;quot;W&lt;/name&gt;
		&lt;LookAt&gt;
			&lt;longitude&gt;-42.82935&lt;/longitude&gt;
			&lt;latitude&gt;-4.989725&lt;/latitude&gt;
			&lt;altitude&gt;0&lt;/altitude&gt;
			&lt;heading&gt;0&lt;/heading&gt;
			&lt;tilt&gt;0&lt;/tilt&gt;
			&lt;gx:fovy&gt;35&lt;/gx:fovy&gt;
			&lt;range&gt;1052.060174875796&lt;/range&gt;
			&lt;altitudeMode&gt;relativeToGround&lt;/altitudeMode&gt;
		&lt;/LookAt&gt;
		&lt;styleUrl&gt;#__managed_style_05F4616D3F3F14507F90&lt;/styleUrl&gt;
		&lt;Point&gt;
			&lt;extrude&gt;1&lt;/extrude&gt;
			&lt;coordinates&gt;-42.82935,-4.989725,0&lt;/coordinates&gt;
		&lt;/Point&gt;
	&lt;/Placemark&gt;
&lt;/Document&gt;
&lt;/kml&gt;</t>
  </si>
  <si>
    <t>MANUTENÇÃO DO SISTEMA DE IRRIGAÇÃO DO CAMPO DA ACADEPOL</t>
  </si>
  <si>
    <t>&lt;?xml version="1.0" encoding="UTF-8"?&gt;
&lt;kml xmlns="http://www.opengis.net/kml/2.2" xmlns:gx="http://www.google.com/kml/ext/2.2" xmlns:kml="http://www.opengis.net/kml/2.2" xmlns:atom="http://www.w3.org/2005/Atom"&gt;
&lt;Document id="document"&gt;
	&lt;name&gt;Mapa sem título&lt;/name&gt;
	&lt;gx:CascadingStyle kml:id="__managed_style_04CF1024363F1404C4B6_highlight"&gt;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kml:id="__managed_style_04CF1024363F1404C4B6_normal"&gt;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id="__managed_style_04CF1024363F1404C4B6"&gt;
		&lt;Pair&gt;
			&lt;key&gt;normal&lt;/key&gt;
			&lt;styleUrl&gt;#__managed_style_04CF1024363F1404C4B6_normal&lt;/styleUrl&gt;
		&lt;/Pair&gt;
		&lt;Pair&gt;
			&lt;key&gt;highlight&lt;/key&gt;
			&lt;styleUrl&gt;#__managed_style_04CF1024363F1404C4B6_highlight&lt;/styleUrl&gt;
		&lt;/Pair&gt;
	&lt;/StyleMap&gt;
	&lt;Placemark id="060BE8C6A33F140AB756"&gt;
		&lt;gx:mid&gt;/g/11b7fs__rb&lt;/gx:mid&gt;
		&lt;gx:fid&gt;0x78e36c024f33e3f:0xaa64ae1ea5f23f7e&lt;/gx:fid&gt;
		&lt;LookAt&gt;
			&lt;longitude&gt;-42.8045158&lt;/longitude&gt;
			&lt;latitude&gt;-5.1349902&lt;/latitude&gt;
			&lt;altitude&gt;0&lt;/altitude&gt;
			&lt;heading&gt;0&lt;/heading&gt;
			&lt;tilt&gt;0&lt;/tilt&gt;
			&lt;gx:fovy&gt;35&lt;/gx:fovy&gt;
			&lt;range&gt;1051.795690168112&lt;/range&gt;
			&lt;altitudeMode&gt;relativeToGround&lt;/altitudeMode&gt;
		&lt;/LookAt&gt;
		&lt;styleUrl&gt;#__managed_style_04CF1024363F1404C4B6&lt;/styleUrl&gt;
		&lt;Point&gt;
			&lt;altitudeMode&gt;relativeToGround&lt;/altitudeMode&gt;
			&lt;coordinates&gt;-42.8044901,-5.1349899,0&lt;/coordinates&gt;
		&lt;/Point&gt;
	&lt;/Placemark&gt;
&lt;/Document&gt;
&lt;/kml&gt;</t>
  </si>
  <si>
    <t>EXECUÇÃO EMERGENCIAL DOS SERVIÇOS DE REFORMA E AMPLIAÇÃO DO INSTITUTO DE MEDICINA LEGAL - IML-TERESINA-PI</t>
  </si>
  <si>
    <t>&lt;?xml version="1.0" encoding="UTF-8"?&gt;
&lt;kml xmlns="http://www.opengis.net/kml/2.2" xmlns:gx="http://www.google.com/kml/ext/2.2" xmlns:kml="http://www.opengis.net/kml/2.2" xmlns:atom="http://www.w3.org/2005/Atom"&gt;
&lt;Document id="document"&gt;
	&lt;name&gt;Mapa sem título&lt;/name&gt;
	&lt;gx:CascadingStyle kml:id="__managed_style_04CF1024363F1404C4B6_highlight"&gt;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kml:id="__managed_style_04CF1024363F1404C4B6_normal"&gt;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id="__managed_style_04CF1024363F1404C4B6"&gt;
		&lt;Pair&gt;
			&lt;key&gt;normal&lt;/key&gt;
			&lt;styleUrl&gt;#__managed_style_04CF1024363F1404C4B6_normal&lt;/styleUrl&gt;
		&lt;/Pair&gt;
		&lt;Pair&gt;
			&lt;key&gt;highlight&lt;/key&gt;
			&lt;styleUrl&gt;#__managed_style_04CF1024363F1404C4B6_highlight&lt;/styleUrl&gt;
		&lt;/Pair&gt;
	&lt;/StyleMap&gt;
	&lt;Placemark id="0833D454493F14071C70"&gt;
		&lt;gx:mid&gt;/g/11dx8jq953&lt;/gx:mid&gt;
		&lt;gx:fid&gt;0x78e36c04ee75577:0x3dfe41fbabdf617c&lt;/gx:fid&gt;
		&lt;LookAt&gt;
			&lt;longitude&gt;-42.8036757&lt;/longitude&gt;
			&lt;latitude&gt;-5.1351626&lt;/latitude&gt;
			&lt;altitude&gt;0&lt;/altitude&gt;
			&lt;heading&gt;0&lt;/heading&gt;
			&lt;tilt&gt;0&lt;/tilt&gt;
			&lt;gx:fovy&gt;35&lt;/gx:fovy&gt;
			&lt;range&gt;1051.79537178966&lt;/range&gt;
			&lt;altitudeMode&gt;relativeToGround&lt;/altitudeMode&gt;
		&lt;/LookAt&gt;
		&lt;styleUrl&gt;#__managed_style_04CF1024363F1404C4B6&lt;/styleUrl&gt;
		&lt;Point&gt;
			&lt;altitudeMode&gt;relativeToGround&lt;/altitudeMode&gt;
			&lt;coordinates&gt;-42.8036354,-5.1352104,0&lt;/coordinates&gt;
		&lt;/Point&gt;
	&lt;/Placemark&gt;
&lt;/Document&gt;
&lt;/kml&gt;</t>
  </si>
  <si>
    <t>EXECUÇÃO DE SERVIÇOS 4.221,00 M² DE PAVIMENTAÇÃO EM PARALELEPIPEDO EM TRECHOS DA LOCALIDADE PARQUE VITORIA, LOCALIZADA NO MUNICÍPIO DE TERESINA-PI</t>
  </si>
  <si>
    <t>PARQUE VITÓRIA</t>
  </si>
  <si>
    <t>PAVIMENTAÇÃO EM PARALELEPÍPEDO DE 1.914,00 M², NA LOCALIDADE PARQUE XIXÁ, MUNICÍPIO DE TERESINA-PI. CONTRATO Nº 022/2025 - LDM - OPA</t>
  </si>
  <si>
    <t>PEDRA MOLE</t>
  </si>
  <si>
    <t>&lt;?xml version="1.0" encoding="UTF-8"?&gt;
&lt;kml xmlns="http://www.opengis.net/kml/2.2" xmlns:gx="http://www.google.com/kml/ext/2.2" xmlns:kml="http://www.opengis.net/kml/2.2" xmlns:atom="http://www.w3.org/2005/Atom"&gt;
&lt;Document&gt;
	&lt;name&gt;ID 14453 - OPA - PARQUE XIXÁ.kmz&lt;/name&gt;
	&lt;StyleMap id="msn_ylw-pushpin0"&gt;
		&lt;Pair&gt;
			&lt;key&gt;normal&lt;/key&gt;
			&lt;styleUrl&gt;#sn_ylw-pushpin16&lt;/styleUrl&gt;
		&lt;/Pair&gt;
		&lt;Pair&gt;
			&lt;key&gt;highlight&lt;/key&gt;
			&lt;styleUrl&gt;#sh_ylw-pushpin4&lt;/styleUrl&gt;
		&lt;/Pair&gt;
	&lt;/StyleMap&gt;
	&lt;Style id="sh_ylw-pushpin4"&gt;
		&lt;IconStyle&gt;
			&lt;scale&gt;1.3&lt;/scale&gt;
			&lt;Icon&gt;
				&lt;href&gt;http://maps.google.com/mapfiles/kml/pushpin/ylw-pushpin.png&lt;/href&gt;
			&lt;/Icon&gt;
			&lt;hotSpot x="20" y="2" xunits="pixels" yunits="pixels"/&gt;
		&lt;/IconStyle&gt;
		&lt;LineStyle&gt;
			&lt;color&gt;ffffff00&lt;/color&gt;
			&lt;width&gt;6&lt;/width&gt;
		&lt;/LineStyle&gt;
	&lt;/Style&gt;
	&lt;Style id="sn_ylw-pushpin16"&gt;
		&lt;IconStyle&gt;
			&lt;scale&gt;1.1&lt;/scale&gt;
			&lt;Icon&gt;
				&lt;href&gt;http://maps.google.com/mapfiles/kml/pushpin/ylw-pushpin.png&lt;/href&gt;
			&lt;/Icon&gt;
			&lt;hotSpot x="20" y="2" xunits="pixels" yunits="pixels"/&gt;
		&lt;/IconStyle&gt;
		&lt;LineStyle&gt;
			&lt;color&gt;ffffff00&lt;/color&gt;
			&lt;width&gt;6&lt;/width&gt;
		&lt;/LineStyle&gt;
	&lt;/Style&gt;
	&lt;Folder&gt;
		&lt;name&gt;ID 14453 - OPA - PARQUE XIXÁ&lt;/name&gt;
		&lt;open&gt;1&lt;/open&gt;
		&lt;Placemark&gt;
			&lt;name&gt;RUA PROJETADA&lt;/name&gt;
			&lt;styleUrl&gt;#msn_ylw-pushpin0&lt;/styleUrl&gt;
			&lt;LineString&gt;
				&lt;tessellate&gt;1&lt;/tessellate&gt;
				&lt;coordinates&gt;
					-42.78331115514256,-5.013894931995082,0 -42.78428364146836,-5.016612738308763,0 
				&lt;/coordinates&gt;
			&lt;/LineString&gt;
		&lt;/Placemark&gt;
		&lt;atom:link rel="app" href="https://www.google.com/earth/about/versions/#earth-pro" title="Google Earth Pro 7.3.6.10201"&gt;&lt;/atom:link&gt;
	&lt;/Folder&gt;
&lt;/Document&gt;
&lt;/kml&gt;</t>
  </si>
  <si>
    <t>PAVIMENTAÇÃO EM PARALELEPÍPEDO NA ZONA RURAL DO MUNICÍPIO DE TERESINA - PI, NO PARQUE XIXÁ - PEDRA MOLE, COM UMA ÁREA TOTAL DE 3.600,00 M²- CONTRATO 09/2024 - FRANCA</t>
  </si>
  <si>
    <t>&lt;?xml version="1.0" encoding="UTF-8"?&gt;
&lt;kml xmlns="http://www.opengis.net/kml/2.2" xmlns:gx="http://www.google.com/kml/ext/2.2" xmlns:kml="http://www.opengis.net/kml/2.2" xmlns:atom="http://www.w3.org/2005/Atom"&gt;
&lt;Document&gt;
	&lt;name&gt;PARQUE XIXÁ, PEDRA MOLE, TERESINA-PI.kmz&lt;/name&gt;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&lt;LineStyle&gt;
			&lt;color&gt;ff00ffff&lt;/color&gt;
			&lt;width&gt;6&lt;/width&gt;
		&lt;/LineStyle&gt;
	&lt;/Style&gt;
	&lt;Style id="s_ylw-pushpin_hl"&gt;
		&lt;IconStyle&gt;
			&lt;scale&gt;1.3&lt;/scale&gt;
			&lt;Icon&gt;
				&lt;href&gt;http://maps.google.com/mapfiles/kml/pushpin/ylw-pushpin.png&lt;/href&gt;
			&lt;/Icon&gt;
			&lt;hotSpot x="20" y="2" xunits="pixels" yunits="pixels"/&gt;
		&lt;/IconStyle&gt;
		&lt;LineStyle&gt;
			&lt;color&gt;ff00ffff&lt;/color&gt;
			&lt;width&gt;6&lt;/width&gt;
		&lt;/LineStyle&gt;
	&lt;/Style&gt;
	&lt;Folder&gt;
		&lt;name&gt;PARQUE XIXÁ, PEDRA MOLE, TERESINA-PI&lt;/name&gt;
		&lt;open&gt;1&lt;/open&gt;
		&lt;Placemark&gt;
			&lt;name&gt;RUA 16&lt;/name&gt;
			&lt;styleUrl&gt;#m_ylw-pushpin&lt;/styleUrl&gt;
			&lt;LineString&gt;
				&lt;tessellate&gt;1&lt;/tessellate&gt;
				&lt;coordinates&gt;
					-42.78343733503524,-5.014304446586272,0 -42.78264925797186,-5.014675099339045,0 
				&lt;/coordinates&gt;
			&lt;/LineString&gt;
		&lt;/Placemark&gt;
		&lt;Placemark&gt;
			&lt;name&gt;RUA 15&lt;/name&gt;
			&lt;styleUrl&gt;#m_ylw-pushpin&lt;/styleUrl&gt;
			&lt;LineString&gt;
				&lt;tessellate&gt;1&lt;/tessellate&gt;
				&lt;coordinates&gt;
					-42.78363830332955,-5.014902903977274,0 -42.78283824111693,-5.015224957042048,0 
				&lt;/coordinates&gt;
			&lt;/LineString&gt;
		&lt;/Placemark&gt;
		&lt;Placemark&gt;
			&lt;name&gt;RUA 14&lt;/name&gt;
			&lt;styleUrl&gt;#m_ylw-pushpin&lt;/styleUrl&gt;
			&lt;LineString&gt;
				&lt;tessellate&gt;1&lt;/tessellate&gt;
				&lt;coordinates&gt;
					-42.78387263275911,-5.015461713425649,0 -42.78304811002174,-5.015816287079021,0 
				&lt;/coordinates&gt;
			&lt;/LineString&gt;
		&lt;/Placemark&gt;
		&lt;Placemark&gt;
			&lt;name&gt;RUA 13&lt;/name&gt;
			&lt;styleUrl&gt;#m_ylw-pushpin&lt;/styleUrl&gt;
			&lt;LineString&gt;
				&lt;tessellate&gt;1&lt;/tessellate&gt;
				&lt;coordinates&gt;
					-42.78409452423307,-5.016023306423216,0 -42.78325725316183,-5.016393974735978,0 
				&lt;/coordinates&gt;
			&lt;/LineString&gt;
		&lt;/Placemark&gt;
		&lt;Placemark&gt;
			&lt;name&gt;RUA 12&lt;/name&gt;
			&lt;styleUrl&gt;#m_ylw-pushpin&lt;/styleUrl&gt;
			&lt;LineString&gt;
				&lt;tessellate&gt;1&lt;/tessellate&gt;
				&lt;coordinates&gt;
					-42.78431962947331,-5.016632049900863,0 -42.78347035227237,-5.017030791494468,0 
				&lt;/coordinates&gt;
			&lt;/LineString&gt;
		&lt;/Placemark&gt;
		&lt;Placemark&gt;
			&lt;name&gt;RUA 11&lt;/name&gt;
			&lt;styleUrl&gt;#m_ylw-pushpin&lt;/styleUrl&gt;
			&lt;LineString&gt;
				&lt;tessellate&gt;1&lt;/tessellate&gt;
				&lt;coordinates&gt;
					-42.78451821278236,-5.017242563331133,0 -42.7836629866779,-5.017581970363071,0 
				&lt;/coordinates&gt;
			&lt;/LineString&gt;
		&lt;/Placemark&gt;
		&lt;atom:link rel="app" href="https://www.google.com/earth/about/versions/#earth-pro" title="Google Earth Pro 7.3.6.10441"&gt;&lt;/atom:link&gt;
	&lt;/Folder&gt;
&lt;/Document&gt;
&lt;/kml&gt;</t>
  </si>
  <si>
    <t>PAVIMENTAÇÃO EM PARALELEPÍPEDO DE 5.717,00 M², NA COMUNIDADE ALTO DOS IPÊS, TABAJARAS NO MUNICÍPIO DE TERESINA-PI, CONTRATO 11/2024 - FRANCA</t>
  </si>
  <si>
    <t>&lt;?xml version="1.0" encoding="UTF-8"?&gt;
&lt;kml xmlns="http://www.opengis.net/kml/2.2" xmlns:gx="http://www.google.com/kml/ext/2.2" xmlns:kml="http://www.opengis.net/kml/2.2" xmlns:atom="http://www.w3.org/2005/Atom"&gt;
&lt;Document&gt;
	&lt;name&gt;COMUN ALTOS DO IPES.kmz&lt;/name&gt;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&lt;LineStyle&gt;
			&lt;color&gt;ff00ffff&lt;/color&gt;
			&lt;width&gt;6&lt;/width&gt;
		&lt;/LineStyle&gt;
	&lt;/Style&gt;
	&lt;Style id="s_ylw-pushpin_hl"&gt;
		&lt;IconStyle&gt;
			&lt;scale&gt;1.3&lt;/scale&gt;
			&lt;Icon&gt;
				&lt;href&gt;http://maps.google.com/mapfiles/kml/pushpin/ylw-pushpin.png&lt;/href&gt;
			&lt;/Icon&gt;
			&lt;hotSpot x="20" y="2" xunits="pixels" yunits="pixels"/&gt;
		&lt;/IconStyle&gt;
		&lt;LineStyle&gt;
			&lt;color&gt;ff00ffff&lt;/color&gt;
			&lt;width&gt;6&lt;/width&gt;
		&lt;/LineStyle&gt;
	&lt;/Style&gt;
	&lt;Folder&gt;
		&lt;name&gt;COMUN ALTOS DO IPES&lt;/name&gt;
		&lt;open&gt;1&lt;/open&gt;
		&lt;Placemark&gt;
			&lt;name&gt;RUA JACARANDA&lt;/name&gt;
			&lt;styleUrl&gt;#m_ylw-pushpin&lt;/styleUrl&gt;
			&lt;LineString&gt;
				&lt;tessellate&gt;1&lt;/tessellate&gt;
				&lt;coordinates&gt;
					-42.77889085640058,-4.99846812641394,0 -42.77852040550413,-4.998645571290149,0 -42.77829057883006,-4.998757380223881,0 -42.77802618139985,-4.998907981127077,0 -42.77787979150281,-4.998996709877868,0 -42.77767692858819,-4.99912357318808,0 -42.77749414438168,-4.99927381524131,0 -42.77718098331991,-4.999500746753022,0 -42.77697650259243,-4.999632005887476,0 -42.77670447273114,-4.999785748409216,0 -42.77648228025009,-4.999912347048131,0 -42.77625226205733,-5.000055816290963,0 -42.77601423612478,-5.000129222481998,0 -42.7757775932525,-5.000173804475473,0 -42.77534173572829,-5.000268402945552,0 -42.77504513696441,-5.000323660458603,0 
				&lt;/coordinates&gt;
			&lt;/LineString&gt;
		&lt;/Placemark&gt;
		&lt;Placemark&gt;
			&lt;name&gt;RUA SAPUCAIA&lt;/name&gt;
			&lt;styleUrl&gt;#m_ylw-pushpin&lt;/styleUrl&gt;
			&lt;LineString&gt;
				&lt;tessellate&gt;1&lt;/tessellate&gt;
				&lt;coordinates&gt;
					-42.77874124229353,-5.000741235027182,0 -42.77861677106571,-5.000378122777046,0 -42.77847750313973,-4.999967156961128,0 -42.7782967293267,-4.999570801734398,0 -42.77810477855338,-4.999184176441373,0 -42.77797339038859,-4.998973731080527,0 
				&lt;/coordinates&gt;
			&lt;/LineString&gt;
		&lt;/Placemark&gt;
		&lt;Placemark&gt;
			&lt;name&gt;RUA PROJETADA&lt;/name&gt;
			&lt;styleUrl&gt;#m_ylw-pushpin&lt;/styleUrl&gt;
			&lt;LineString&gt;
				&lt;tessellate&gt;1&lt;/tessellate&gt;
				&lt;coordinates&gt;
					-42.77928129700581,-5.000529955313844,0 -42.77874132153725,-5.00076250595793,0 -42.77829389386225,-5.001018468699107,0 -42.77772858463685,-5.00129621153829,0 
				&lt;/coordinates&gt;
			&lt;/LineString&gt;
		&lt;/Placemark&gt;
		&lt;atom:link rel="app" href="https://www.google.com/earth/about/versions/#earth-pro" title="Google Earth Pro 7.3.6.10441"&gt;&lt;/atom:link&gt;
	&lt;/Folder&gt;
&lt;/Document&gt;
&lt;/kml&gt;</t>
  </si>
  <si>
    <t>PAVIMENTAÇÃO EM PARALELEPÍPEDO DE 7.743,50 M² DE RUAS NO MUNICÍPIO DE TERESINA - PI</t>
  </si>
  <si>
    <t>PEDRA MOLE,TABAJARAS,ANGELIM</t>
  </si>
  <si>
    <t>&lt;?xml version="1.0" encoding="UTF-8"?&gt;
&lt;kml xmlns="http://www.opengis.net/kml/2.2" xmlns:gx="http://www.google.com/kml/ext/2.2" xmlns:kml="http://www.opengis.net/kml/2.2" xmlns:atom="http://www.w3.org/2005/Atom"&gt;
&lt;Document&gt;
	&lt;name&gt;TERESINA.kmz&lt;/name&gt;
	&lt;Style id="failed"&gt;
	&lt;/Style&gt;
	&lt;Style id="failed0"&gt;
	&lt;/Style&gt;
	&lt;StyleMap id="failed1"&gt;
		&lt;Pair&gt;
			&lt;key&gt;normal&lt;/key&gt;
			&lt;styleUrl&gt;#failed3&lt;/styleUrl&gt;
		&lt;/Pair&gt;
		&lt;Pair&gt;
			&lt;key&gt;highlight&lt;/key&gt;
			&lt;styleUrl&gt;#failed&lt;/styleUrl&gt;
		&lt;/Pair&gt;
	&lt;/StyleMap&gt;
	&lt;Style id="failed2"&gt;
	&lt;/Style&gt;
	&lt;Style id="failed3"&gt;
	&lt;/Style&gt;
	&lt;StyleMap id="failed4"&gt;
		&lt;Pair&gt;
			&lt;key&gt;normal&lt;/key&gt;
			&lt;styleUrl&gt;#failed2&lt;/styleUrl&gt;
		&lt;/Pair&gt;
		&lt;Pair&gt;
			&lt;key&gt;highlight&lt;/key&gt;
			&lt;styleUrl&gt;#failed0&lt;/styleUrl&gt;
		&lt;/Pair&gt;
	&lt;/StyleMap&gt;
	&lt;StyleMap id="m_ylw-pushpin"&gt;
		&lt;Pair&gt;
			&lt;key&gt;normal&lt;/key&gt;
			&lt;styleUrl&gt;#s_ylw-pushpin00&lt;/styleUrl&gt;
		&lt;/Pair&gt;
		&lt;Pair&gt;
			&lt;key&gt;highlight&lt;/key&gt;
			&lt;styleUrl&gt;#s_ylw-pushpin_hl4&lt;/styleUrl&gt;
		&lt;/Pair&gt;
	&lt;/StyleMap&gt;
	&lt;StyleMap id="m_ylw-pushpin0"&gt;
		&lt;Pair&gt;
			&lt;key&gt;normal&lt;/key&gt;
			&lt;styleUrl&gt;#s_ylw-pushpin0&lt;/styleUrl&gt;
		&lt;/Pair&gt;
		&lt;Pair&gt;
			&lt;key&gt;highlight&lt;/key&gt;
			&lt;styleUrl&gt;#s_ylw-pushpin_hl&lt;/styleUrl&gt;
		&lt;/Pair&gt;
	&lt;/StyleMap&gt;
	&lt;StyleMap id="m_ylw-pushpin05"&gt;
		&lt;Pair&gt;
			&lt;key&gt;normal&lt;/key&gt;
			&lt;styleUrl&gt;#s_ylw-pushpin4&lt;/styleUrl&gt;
		&lt;/Pair&gt;
		&lt;Pair&gt;
			&lt;key&gt;highlight&lt;/key&gt;
			&lt;styleUrl&gt;#s_ylw-pushpin_hl15&lt;/styleUrl&gt;
		&lt;/Pair&gt;
	&lt;/StyleMap&gt;
	&lt;StyleMap id="m_ylw-pushpin1"&gt;
		&lt;Pair&gt;
			&lt;key&gt;normal&lt;/key&gt;
			&lt;styleUrl&gt;#s_ylw-pushpin&lt;/styleUrl&gt;
		&lt;/Pair&gt;
		&lt;Pair&gt;
			&lt;key&gt;highlight&lt;/key&gt;
			&lt;styleUrl&gt;#s_ylw-pushpin_hl00&lt;/styleUrl&gt;
		&lt;/Pair&gt;
	&lt;/StyleMap&gt;
	&lt;StyleMap id="m_ylw-pushpin4"&gt;
		&lt;Pair&gt;
			&lt;key&gt;normal&lt;/key&gt;
			&lt;styleUrl&gt;#s_ylw-pushpin03&lt;/styleUrl&gt;
		&lt;/Pair&gt;
		&lt;Pair&gt;
			&lt;key&gt;highlight&lt;/key&gt;
			&lt;styleUrl&gt;#s_ylw-pushpin_hl41&lt;/styleUrl&gt;
		&lt;/Pair&gt;
	&lt;/StyleMap&gt;
	&lt;StyleMap id="msn_ylw-pushpin"&gt;
		&lt;Pair&gt;
			&lt;key&gt;normal&lt;/key&gt;
			&lt;styleUrl&gt;#sn_ylw-pushpin0&lt;/styleUrl&gt;
		&lt;/Pair&gt;
		&lt;Pair&gt;
			&lt;key&gt;highlight&lt;/key&gt;
			&lt;styleUrl&gt;#sh_ylw-pushpin1&lt;/styleUrl&gt;
		&lt;/Pair&gt;
	&lt;/StyleMap&gt;
	&lt;StyleMap id="msn_ylw-pushpin0"&gt;
		&lt;Pair&gt;
			&lt;key&gt;normal&lt;/key&gt;
			&lt;styleUrl&gt;#sn_ylw-pushpin&lt;/styleUrl&gt;
		&lt;/Pair&gt;
		&lt;Pair&gt;
			&lt;key&gt;highlight&lt;/key&gt;
			&lt;styleUrl&gt;#sh_ylw-pushpin&lt;/styleUrl&gt;
		&lt;/Pair&gt;
	&lt;/StyleMap&gt;
	&lt;StyleMap id="msn_ylw-pushpin1"&gt;
		&lt;Pair&gt;
			&lt;key&gt;normal&lt;/key&gt;
			&lt;styleUrl&gt;#sn_ylw-pushpin1&lt;/styleUrl&gt;
		&lt;/Pair&gt;
		&lt;Pair&gt;
			&lt;key&gt;highlight&lt;/key&gt;
			&lt;styleUrl&gt;#sh_ylw-pushpin0&lt;/styleUrl&gt;
		&lt;/Pair&gt;
	&lt;/StyleMap&gt;
	&lt;Style id="s_ylw-pushpin"&gt;
		&lt;IconStyle&gt;
			&lt;scale&gt;1.1&lt;/scale&gt;
			&lt;Icon&gt;
				&lt;href&gt;http://maps.google.com/mapfiles/kml/pushpin/ylw-pushpin.png&lt;/href&gt;
			&lt;/Icon&gt;
			&lt;hotSpot x="20" y="2" xunits="pixels" yunits="pixels"/&gt;
		&lt;/IconStyle&gt;
	&lt;/Style&gt;
	&lt;Style id="s_ylw-pushpin0"&gt;
		&lt;IconStyle&gt;
			&lt;scale&gt;1.1&lt;/scale&gt;
			&lt;Icon&gt;
				&lt;href&gt;http://maps.google.com/mapfiles/kml/pushpin/ylw-pushpin.png&lt;/href&gt;
			&lt;/Icon&gt;
			&lt;hotSpot x="20" y="2" xunits="pixels" yunits="pixels"/&gt;
		&lt;/IconStyle&gt;
		&lt;LineStyle&gt;
			&lt;color&gt;ffffaa55&lt;/color&gt;
			&lt;width&gt;6&lt;/width&gt;
		&lt;/LineStyle&gt;
	&lt;/Style&gt;
	&lt;Style id="s_ylw-pushpin00"&gt;
		&lt;IconStyle&gt;
			&lt;scale&gt;1.1&lt;/scale&gt;
			&lt;Icon&gt;
				&lt;href&gt;http://maps.google.com/mapfiles/kml/pushpin/ylw-pushpin.png&lt;/href&gt;
			&lt;/Icon&gt;
			&lt;hotSpot x="20" y="2" xunits="pixels" yunits="pixels"/&gt;
		&lt;/IconStyle&gt;
		&lt;LineStyle&gt;
			&lt;color&gt;ff00ff00&lt;/color&gt;
			&lt;width&gt;10&lt;/width&gt;
		&lt;/LineStyle&gt;
	&lt;/Style&gt;
	&lt;Style id="s_ylw-pushpin03"&gt;
		&lt;IconStyle&gt;
			&lt;scale&gt;1.1&lt;/scale&gt;
			&lt;Icon&gt;
				&lt;href&gt;http://maps.google.com/mapfiles/kml/pushpin/ylw-pushpin.png&lt;/href&gt;
			&lt;/Icon&gt;
			&lt;hotSpot x="20" y="2" xunits="pixels" yunits="pixels"/&gt;
		&lt;/IconStyle&gt;
	&lt;/Style&gt;
	&lt;Style id="s_ylw-pushpin4"&gt;
		&lt;IconStyle&gt;
			&lt;scale&gt;1.1&lt;/scale&gt;
			&lt;Icon&gt;
				&lt;href&gt;http://maps.google.com/mapfiles/kml/pushpin/ylw-pushpin.png&lt;/href&gt;
			&lt;/Icon&gt;
			&lt;hotSpot x="20" y="2" xunits="pixels" yunits="pixels"/&gt;
		&lt;/IconStyle&gt;
		&lt;LineStyle&gt;
			&lt;color&gt;ffff0000&lt;/color&gt;
			&lt;width&gt;4&lt;/width&gt;
		&lt;/LineStyle&gt;
	&lt;/Style&gt;
	&lt;Style id="s_ylw-pushpin_hl"&gt;
		&lt;IconStyle&gt;
			&lt;scale&gt;1.3&lt;/scale&gt;
			&lt;Icon&gt;
				&lt;href&gt;http://maps.google.com/mapfiles/kml/pushpin/ylw-pushpin.png&lt;/href&gt;
			&lt;/Icon&gt;
			&lt;hotSpot x="20" y="2" xunits="pixels" yunits="pixels"/&gt;
		&lt;/IconStyle&gt;
		&lt;LineStyle&gt;
			&lt;color&gt;ffffaa55&lt;/color&gt;
			&lt;width&gt;6&lt;/width&gt;
		&lt;/LineStyle&gt;
	&lt;/Style&gt;
	&lt;Style id="s_ylw-pushpin_hl00"&gt;
		&lt;IconStyle&gt;
			&lt;scale&gt;1.3&lt;/scale&gt;
			&lt;Icon&gt;
				&lt;href&gt;http://maps.google.com/mapfiles/kml/pushpin/ylw-pushpin.png&lt;/href&gt;
			&lt;/Icon&gt;
			&lt;hotSpot x="20" y="2" xunits="pixels" yunits="pixels"/&gt;
		&lt;/IconStyle&gt;
	&lt;/Style&gt;
	&lt;Style id="s_ylw-pushpin_hl15"&gt;
		&lt;IconStyle&gt;
			&lt;scale&gt;1.3&lt;/scale&gt;
			&lt;Icon&gt;
				&lt;href&gt;http://maps.google.com/mapfiles/kml/pushpin/ylw-pushpin.png&lt;/href&gt;
			&lt;/Icon&gt;
			&lt;hotSpot x="20" y="2" xunits="pixels" yunits="pixels"/&gt;
		&lt;/IconStyle&gt;
		&lt;LineStyle&gt;
			&lt;color&gt;ffff0000&lt;/color&gt;
			&lt;width&gt;4&lt;/width&gt;
		&lt;/LineStyle&gt;
	&lt;/Style&gt;
	&lt;Style id="s_ylw-pushpin_hl4"&gt;
		&lt;IconStyle&gt;
			&lt;scale&gt;1.3&lt;/scale&gt;
			&lt;Icon&gt;
				&lt;href&gt;http://maps.google.com/mapfiles/kml/pushpin/ylw-pushpin.png&lt;/href&gt;
			&lt;/Icon&gt;
			&lt;hotSpot x="20" y="2" xunits="pixels" yunits="pixels"/&gt;
		&lt;/IconStyle&gt;
		&lt;LineStyle&gt;
			&lt;color&gt;ff00ff00&lt;/color&gt;
			&lt;width&gt;10&lt;/width&gt;
		&lt;/LineStyle&gt;
	&lt;/Style&gt;
	&lt;Style id="s_ylw-pushpin_hl41"&gt;
		&lt;IconStyle&gt;
			&lt;scale&gt;1.3&lt;/scale&gt;
			&lt;Icon&gt;
				&lt;href&gt;http://maps.google.com/mapfiles/kml/pushpin/ylw-pushpin.png&lt;/href&gt;
			&lt;/Icon&gt;
			&lt;hotSpot x="20" y="2" xunits="pixels" yunits="pixels"/&gt;
		&lt;/IconStyle&gt;
	&lt;/Style&gt;
	&lt;Style id="sh_ylw-pushpin"&gt;
		&lt;IconStyle&gt;
			&lt;scale&gt;1.3&lt;/scale&gt;
			&lt;Icon&gt;
				&lt;href&gt;http://maps.google.com/mapfiles/kml/pushpin/ylw-pushpin.png&lt;/href&gt;
			&lt;/Icon&gt;
			&lt;hotSpot x="20" y="2" xunits="pixels" yunits="pixels"/&gt;
		&lt;/IconStyle&gt;
		&lt;BalloonStyle&gt;
		&lt;/BalloonStyle&gt;
		&lt;LineStyle&gt;
			&lt;color&gt;ffff0000&lt;/color&gt;
			&lt;width&gt;10&lt;/width&gt;
		&lt;/LineStyle&gt;
	&lt;/Style&gt;
	&lt;Style id="sh_ylw-pushpin0"&gt;
		&lt;IconStyle&gt;
			&lt;scale&gt;1.3&lt;/scale&gt;
			&lt;Icon&gt;
				&lt;href&gt;http://maps.google.com/mapfiles/kml/pushpin/ylw-pushpin.png&lt;/href&gt;
			&lt;/Icon&gt;
			&lt;hotSpot x="20" y="2" xunits="pixels" yunits="pixels"/&gt;
		&lt;/IconStyle&gt;
		&lt;BalloonStyle&gt;
		&lt;/BalloonStyle&gt;
		&lt;LineStyle&gt;
			&lt;color&gt;ff00ffff&lt;/color&gt;
			&lt;width&gt;10&lt;/width&gt;
		&lt;/LineStyle&gt;
	&lt;/Style&gt;
	&lt;Style id="sh_ylw-pushpin1"&gt;
		&lt;IconStyle&gt;
			&lt;scale&gt;1.3&lt;/scale&gt;
			&lt;Icon&gt;
				&lt;href&gt;http://maps.google.com/mapfiles/kml/pushpin/ylw-pushpin.png&lt;/href&gt;
			&lt;/Icon&gt;
			&lt;hotSpot x="20" y="2" xunits="pixels" yunits="pixels"/&gt;
		&lt;/IconStyle&gt;
		&lt;BalloonStyle&gt;
		&lt;/BalloonStyle&gt;
		&lt;LineStyle&gt;
			&lt;color&gt;ff7fff00&lt;/color&gt;
			&lt;width&gt;10&lt;/width&gt;
		&lt;/LineStyle&gt;
	&lt;/Style&gt;
	&lt;Style id="sn_ylw-pushpin"&gt;
		&lt;IconStyle&gt;
			&lt;scale&gt;1.1&lt;/scale&gt;
			&lt;Icon&gt;
				&lt;href&gt;http://maps.google.com/mapfiles/kml/pushpin/ylw-pushpin.png&lt;/href&gt;
			&lt;/Icon&gt;
			&lt;hotSpot x="20" y="2" xunits="pixels" yunits="pixels"/&gt;
		&lt;/IconStyle&gt;
		&lt;BalloonStyle&gt;
		&lt;/BalloonStyle&gt;
		&lt;LineStyle&gt;
			&lt;color&gt;ffff0000&lt;/color&gt;
			&lt;width&gt;10&lt;/width&gt;
		&lt;/LineStyle&gt;
	&lt;/Style&gt;
	&lt;Style id="sn_ylw-pushpin0"&gt;
		&lt;IconStyle&gt;
			&lt;scale&gt;1.1&lt;/scale&gt;
			&lt;Icon&gt;
				&lt;href&gt;http://maps.google.com/mapfiles/kml/pushpin/ylw-pushpin.png&lt;/href&gt;
			&lt;/Icon&gt;
			&lt;hotSpot x="20" y="2" xunits="pixels" yunits="pixels"/&gt;
		&lt;/IconStyle&gt;
		&lt;BalloonStyle&gt;
		&lt;/BalloonStyle&gt;
		&lt;LineStyle&gt;
			&lt;color&gt;ff7fff00&lt;/color&gt;
			&lt;width&gt;10&lt;/width&gt;
		&lt;/LineStyle&gt;
	&lt;/Style&gt;
	&lt;Style id="sn_ylw-pushpin1"&gt;
		&lt;IconStyle&gt;
			&lt;scale&gt;1.1&lt;/scale&gt;
			&lt;Icon&gt;
				&lt;href&gt;http://maps.google.com/mapfiles/kml/pushpin/ylw-pushpin.png&lt;/href&gt;
			&lt;/Icon&gt;
			&lt;hotSpot x="20" y="2" xunits="pixels" yunits="pixels"/&gt;
		&lt;/IconStyle&gt;
		&lt;BalloonStyle&gt;
		&lt;/BalloonStyle&gt;
		&lt;LineStyle&gt;
			&lt;color&gt;ff00ffff&lt;/color&gt;
			&lt;width&gt;10&lt;/width&gt;
		&lt;/LineStyle&gt;
	&lt;/Style&gt;
	&lt;Folder&gt;
		&lt;name&gt;TERESINA_SIMONE&lt;/name&gt;
		&lt;open&gt;1&lt;/open&gt;
		&lt;Folder&gt;
			&lt;name&gt;RUA PROJETADA&lt;/name&gt;
			&lt;Placemark&gt;
				&lt;name&gt;INÍCIO&lt;/name&gt;
				&lt;description&gt;-5.014885°, -42.769828°&lt;/description&gt;
				&lt;LookAt&gt;
					&lt;longitude&gt;-42.76975745332224&lt;/longitude&gt;
					&lt;latitude&gt;-5.014809886068062&lt;/latitude&gt;
					&lt;altitude&gt;0&lt;/altitude&gt;
					&lt;heading&gt;-0.0003109993547842783&lt;/heading&gt;
					&lt;tilt&gt;19.3816907758008&lt;/tilt&gt;
					&lt;range&gt;135.7740192370285&lt;/range&gt;
					&lt;gx:altitudeMode&gt;relativeToSeaFloor&lt;/gx:altitudeMode&gt;
				&lt;/LookAt&gt;
				&lt;styleUrl&gt;#m_ylw-pushpin4&lt;/styleUrl&gt;
				&lt;Point&gt;
					&lt;gx:drawOrder&gt;1&lt;/gx:drawOrder&gt;
					&lt;coordinates&gt;-42.769828,-5.014885,0&lt;/coordinates&gt;
				&lt;/Point&gt;
			&lt;/Placemark&gt;
			&lt;Placemark&gt;
				&lt;name&gt;FIM&lt;/name&gt;
				&lt;description&gt;-5.014334°, -42.768998°&lt;/description&gt;
				&lt;LookAt&gt;
					&lt;longitude&gt;-42.76941986089395&lt;/longitude&gt;
					&lt;latitude&gt;-5.014698087716337&lt;/latitude&gt;
					&lt;altitude&gt;0&lt;/altitude&gt;
					&lt;heading&gt;-0.0003405087010432294&lt;/heading&gt;
					&lt;tilt&gt;19.38169077580081&lt;/tilt&gt;
					&lt;range&gt;135.7740192370589&lt;/range&gt;
					&lt;gx:altitudeMode&gt;relativeToSeaFloor&lt;/gx:altitudeMode&gt;
				&lt;/LookAt&gt;
				&lt;styleUrl&gt;#m_ylw-pushpin4&lt;/styleUrl&gt;
				&lt;Point&gt;
					&lt;gx:drawOrder&gt;1&lt;/gx:drawOrder&gt;
					&lt;coordinates&gt;-42.768998,-5.014334,0&lt;/coordinates&gt;
				&lt;/Point&gt;
			&lt;/Placemark&gt;
			&lt;Placemark&gt;
				&lt;name&gt;RUA PROJETADA&lt;/name&gt;
				&lt;styleUrl&gt;#m_ylw-pushpin05&lt;/styleUrl&gt;
				&lt;LineString&gt;
					&lt;tessellate&gt;1&lt;/tessellate&gt;
					&lt;coordinates&gt;
						-42.76982842124436,-5.01488307048739,0 -42.76956530915467,-5.014704295735902,0 -42.76899607297402,-5.014328651236589,0 
					&lt;/coordinates&gt;
				&lt;/LineString&gt;
			&lt;/Placemark&gt;
		&lt;/Folder&gt;
		&lt;Folder&gt;
			&lt;name&gt;RUA TRÊS&lt;/name&gt;
			&lt;Placemark&gt;
				&lt;name&gt;INÍCIO&lt;/name&gt;
				&lt;description&gt;-5.010902°, -42.781279°&lt;/description&gt;
				&lt;LookAt&gt;
					&lt;longitude&gt;-42.78122115606231&lt;/longitude&gt;
					&lt;latitude&gt;-5.010735924720447&lt;/latitude&gt;
					&lt;altitude&gt;0&lt;/altitude&gt;
					&lt;heading&gt;1.922400511168221e-06&lt;/heading&gt;
					&lt;tilt&gt;0&lt;/tilt&gt;
					&lt;range&gt;238.5019546855001&lt;/range&gt;
					&lt;gx:altitudeMode&gt;relativeToSeaFloor&lt;/gx:altitudeMode&gt;
				&lt;/LookAt&gt;
				&lt;styleUrl&gt;#m_ylw-pushpin4&lt;/styleUrl&gt;
				&lt;Point&gt;
					&lt;gx:drawOrder&gt;1&lt;/gx:drawOrder&gt;
					&lt;coordinates&gt;-42.781279,-5.010902,0&lt;/coordinates&gt;
				&lt;/Point&gt;
			&lt;/Placemark&gt;
			&lt;Placemark&gt;
				&lt;name&gt;FIM&lt;/name&gt;
				&lt;description&gt;-5.010748°, -42.781923°&lt;/description&gt;
				&lt;LookAt&gt;
					&lt;longitude&gt;-42.78122115606231&lt;/longitude&gt;
					&lt;latitude&gt;-5.010735924720447&lt;/latitude&gt;
					&lt;altitude&gt;0&lt;/altitude&gt;
					&lt;heading&gt;1.922400511168221e-06&lt;/heading&gt;
					&lt;tilt&gt;0&lt;/tilt&gt;
					&lt;range&gt;238.5019546855001&lt;/range&gt;
					&lt;gx:altitudeMode&gt;relativeToSeaFloor&lt;/gx:altitudeMode&gt;
				&lt;/LookAt&gt;
				&lt;styleUrl&gt;#m_ylw-pushpin4&lt;/styleUrl&gt;
				&lt;Point&gt;
					&lt;gx:drawOrder&gt;1&lt;/gx:drawOrder&gt;
					&lt;coordinates&gt;-42.781923,-5.010748,0&lt;/coordinates&gt;
				&lt;/Point&gt;
			&lt;/Placemark&gt;
			&lt;Placemark&gt;
				&lt;name&gt;RUA TRÊS&lt;/name&gt;
				&lt;styleUrl&gt;#m_ylw-pushpin05&lt;/styleUrl&gt;
				&lt;LineString&gt;
					&lt;tessellate&gt;1&lt;/tessellate&gt;
					&lt;coordinates&gt;
						-42.78127889037845,-5.01090245678802,0 -42.78162701982483,-5.010825199560749,0 -42.78192344771317,-5.01074794212339,0 
					&lt;/coordinates&gt;
				&lt;/LineString&gt;
			&lt;/Placemark&gt;
		&lt;/Folder&gt;
		&lt;Folder&gt;
			&lt;name&gt;RUA PROJETADA 02&lt;/name&gt;
			&lt;Placemark&gt;
				&lt;name&gt;INÍCIO (-4.91255, -42.66401)&lt;/name&gt;
				&lt;styleUrl&gt;#failed1&lt;/styleUrl&gt;
				&lt;Point&gt;
					&lt;coordinates&gt;-42.66401111111111,-4.912547222222223,0&lt;/coordinates&gt;
				&lt;/Point&gt;
			&lt;/Placemark&gt;
			&lt;Placemark&gt;
				&lt;name&gt;FIM (-4.91533, -42.66401)&lt;/name&gt;
				&lt;LookAt&gt;
					&lt;longitude&gt;-42.66331701812309&lt;/longitude&gt;
					&lt;latitude&gt;-4.913706835619445&lt;/latitude&gt;
					&lt;altitude&gt;0&lt;/altitude&gt;
					&lt;heading&gt;0.0001017458632771857&lt;/heading&gt;
					&lt;tilt&gt;0&lt;/tilt&gt;
					&lt;range&gt;616.1084439260658&lt;/range&gt;
					&lt;gx:altitudeMode&gt;relativeToSeaFloor&lt;/gx:altitudeMode&gt;
				&lt;/LookAt&gt;
				&lt;styleUrl&gt;#failed4&lt;/styleUrl&gt;
				&lt;Point&gt;
					&lt;gx:drawOrder&gt;1&lt;/gx:drawOrder&gt;
					&lt;coordinates&gt;-42.66401388888889,-4.915330555555556,0&lt;/coordinates&gt;
				&lt;/Point&gt;
			&lt;/Placemark&gt;
			&lt;Placemark&gt;
				&lt;name&gt;RUA PROJETADA 02 (300,00M X 6,00M)&lt;/name&gt;
				&lt;styleUrl&gt;#m_ylw-pushpin0&lt;/styleUrl&gt;
				&lt;LineString&gt;
					&lt;tessellate&gt;1&lt;/tessellate&gt;
					&lt;coordinates&gt;
						-42.66399780694517,-4.912565455541657,0 -42.6638237879916,-4.913051691065021,0 -42.6638817288524,-4.913866633532899,0 -42.66397172522988,-4.914172279080413,0 -42.66392936626862,-4.914498028975227,0 -42.66400928523685,-4.915228512856246,0 
					&lt;/coordinates&gt;
				&lt;/LineString&gt;
			&lt;/Placemark&gt;
		&lt;/Folder&gt;
		&lt;Folder&gt;
			&lt;name&gt;RUA PROJETADA 01&lt;/name&gt;
			&lt;Placemark&gt;
				&lt;name&gt;INÍCIO&lt;/name&gt;
				&lt;LookAt&gt;
					&lt;longitude&gt;-42.78496557974994&lt;/longitude&gt;
					&lt;latitude&gt;-5.169260445223069&lt;/latitude&gt;
					&lt;altitude&gt;0&lt;/altitude&gt;
					&lt;heading&gt;-8.263618944642706&lt;/heading&gt;
					&lt;tilt&gt;14.86899787897518&lt;/tilt&gt;
					&lt;range&gt;186.6060469235687&lt;/range&gt;
					&lt;gx:altitudeMode&gt;relativeToSeaFloor&lt;/gx:altitudeMode&gt;
				&lt;/LookAt&gt;
				&lt;styleUrl&gt;#m_ylw-pushpin1&lt;/styleUrl&gt;
				&lt;Point&gt;
					&lt;gx:drawOrder&gt;1&lt;/gx:drawOrder&gt;
					&lt;coordinates&gt;-42.78510191550984,-5.169242028098575,0&lt;/coordinates&gt;
				&lt;/Point&gt;
			&lt;/Placemark&gt;
			&lt;Placemark&gt;
				&lt;name&gt;RUA PROJETADA 01&lt;/name&gt;
				&lt;styleUrl&gt;#msn_ylw-pushpin0&lt;/styleUrl&gt;
				&lt;LineString&gt;
					&lt;tessellate&gt;1&lt;/tessellate&gt;
					&lt;coordinates&gt;
						-42.78510663859563,-5.16923844656651,0 -42.78406062140387,-5.169010886094094,0 
					&lt;/coordinates&gt;
				&lt;/LineString&gt;
			&lt;/Placemark&gt;
			&lt;Placemark&gt;
				&lt;name&gt;FIM&lt;/name&gt;
				&lt;LookAt&gt;
					&lt;longitude&gt;-42.78425669183282&lt;/longitude&gt;
					&lt;latitude&gt;-5.168943951791802&lt;/latitude&gt;
					&lt;altitude&gt;0&lt;/altitude&gt;
					&lt;heading&gt;-10.66759598502983&lt;/heading&gt;
					&lt;tilt&gt;0&lt;/tilt&gt;
					&lt;range&gt;229.3339009518189&lt;/range&gt;
					&lt;gx:altitudeMode&gt;relativeToSeaFloor&lt;/gx:altitudeMode&gt;
				&lt;/LookAt&gt;
				&lt;styleUrl&gt;#m_ylw-pushpin1&lt;/styleUrl&gt;
				&lt;Point&gt;
					&lt;gx:drawOrder&gt;1&lt;/gx:drawOrder&gt;
					&lt;coordinates&gt;-42.78406194501693,-5.169014928415434,0&lt;/coordinates&gt;
				&lt;/Point&gt;
			&lt;/Placemark&gt;
		&lt;/Folder&gt;
		&lt;Folder&gt;
			&lt;name&gt;RUA PROJETADA 03&lt;/name&gt;
			&lt;Placemark&gt;
				&lt;name&gt;INÍCIO&lt;/name&gt;
				&lt;LookAt&gt;
					&lt;longitude&gt;-42.78506097357909&lt;/longitude&gt;
					&lt;latitude&gt;-5.16904849497758&lt;/latitude&gt;
					&lt;altitude&gt;0&lt;/altitude&gt;
					&lt;heading&gt;-4.78807899040665e-05&lt;/heading&gt;
					&lt;tilt&gt;26.70048248808256&lt;/tilt&gt;
					&lt;range&gt;196.2393615721835&lt;/range&gt;
					&lt;gx:altitudeMode&gt;relativeToSeaFloor&lt;/gx:altitudeMode&gt;
				&lt;/LookAt&gt;
				&lt;styleUrl&gt;#m_ylw-pushpin1&lt;/styleUrl&gt;
				&lt;Point&gt;
					&lt;gx:drawOrder&gt;1&lt;/gx:drawOrder&gt;
					&lt;coordinates&gt;-42.78509117000313,-5.168897421792094,0&lt;/coordinates&gt;
				&lt;/Point&gt;
			&lt;/Placemark&gt;
			&lt;Placemark&gt;
				&lt;name&gt;FIM&lt;/name&gt;
				&lt;LookAt&gt;
					&lt;longitude&gt;-42.78506097344604&lt;/longitude&gt;
					&lt;latitude&gt;-5.1691615654967&lt;/latitude&gt;
					&lt;altitude&gt;0&lt;/altitude&gt;
					&lt;heading&gt;-4.788079183386804e-05&lt;/heading&gt;
					&lt;tilt&gt;26.70048248808257&lt;/tilt&gt;
					&lt;range&gt;196.2393615665622&lt;/range&gt;
					&lt;gx:altitudeMode&gt;relativeToSeaFloor&lt;/gx:altitudeMode&gt;
				&lt;/LookAt&gt;
				&lt;styleUrl&gt;#m_ylw-pushpin1&lt;/styleUrl&gt;
				&lt;Point&gt;
					&lt;gx:drawOrder&gt;1&lt;/gx:drawOrder&gt;
					&lt;coordinates&gt;-42.78512098440707,-5.169662289244698,0&lt;/coordinates&gt;
				&lt;/Point&gt;
			&lt;/Placemark&gt;
			&lt;Placemark&gt;
				&lt;name&gt;RUA PROJETADA 03&lt;/name&gt;
				&lt;styleUrl&gt;#msn_ylw-pushpin&lt;/styleUrl&gt;
				&lt;LineString&gt;
					&lt;tessellate&gt;1&lt;/tessellate&gt;
					&lt;coordinates&gt;
						-42.78508529433383,-5.168871466561957,0 -42.78512169412463,-5.169231974360867,0 -42.78512314737203,-5.169665528327358,0 
					&lt;/coordinates&gt;
				&lt;/LineString&gt;
			&lt;/Placemark&gt;
		&lt;/Folder&gt;
		&lt;Folder&gt;
			&lt;name&gt;RUA PROJETADA 04&lt;/name&gt;
			&lt;Placemark&gt;
				&lt;name&gt;INÍCIO&lt;/name&gt;
				&lt;LookAt&gt;
					&lt;longitude&gt;-42.78451870476297&lt;/longitude&gt;
					&lt;latitude&gt;-5.169076611603368&lt;/latitude&gt;
					&lt;altitude&gt;0&lt;/altitude&gt;
					&lt;heading&gt;-8.918733213159697&lt;/heading&gt;
					&lt;tilt&gt;0&lt;/tilt&gt;
					&lt;range&gt;221.43940569601&lt;/range&gt;
					&lt;gx:altitudeMode&gt;relativeToSeaFloor&lt;/gx:altitudeMode&gt;
				&lt;/LookAt&gt;
				&lt;styleUrl&gt;#m_ylw-pushpin1&lt;/styleUrl&gt;
				&lt;Point&gt;
					&lt;gx:drawOrder&gt;1&lt;/gx:drawOrder&gt;
					&lt;coordinates&gt;-42.7850652029794,-5.16885223038662,0&lt;/coordinates&gt;
				&lt;/Point&gt;
			&lt;/Placemark&gt;
			&lt;Placemark&gt;
				&lt;name&gt;FIM&lt;/name&gt;
				&lt;LookAt&gt;
					&lt;longitude&gt;-42.78451870476297&lt;/longitude&gt;
					&lt;latitude&gt;-5.169076611603368&lt;/latitude&gt;
					&lt;altitude&gt;0&lt;/altitude&gt;
					&lt;heading&gt;-8.918733213159697&lt;/heading&gt;
					&lt;tilt&gt;0&lt;/tilt&gt;
					&lt;range&gt;221.43940569601&lt;/range&gt;
					&lt;gx:altitudeMode&gt;relativeToSeaFloor&lt;/gx:altitudeMode&gt;
				&lt;/LookAt&gt;
				&lt;styleUrl&gt;#m_ylw-pushpin1&lt;/styleUrl&gt;
				&lt;Point&gt;
					&lt;gx:drawOrder&gt;1&lt;/gx:drawOrder&gt;
					&lt;coordinates&gt;-42.7841825162357,-5.168644892036475,0&lt;/coordinates&gt;
				&lt;/Point&gt;
			&lt;/Placemark&gt;
			&lt;Placemark&gt;
				&lt;name&gt;RUA PROJETADA 04&lt;/name&gt;
				&lt;styleUrl&gt;#msn_ylw-pushpin1&lt;/styleUrl&gt;
				&lt;LineString&gt;
					&lt;tessellate&gt;1&lt;/tessellate&gt;
					&lt;coordinates&gt;
						-42.7850686134439,-5.168851149892546,0 -42.78417960204434,-5.168642823045873,0 
					&lt;/coordinates&gt;
				&lt;/LineString&gt;
			&lt;/Placemark&gt;
		&lt;/Folder&gt;
		&lt;Folder&gt;
			&lt;name&gt;RUA PROJETADA 01 POV. CAJAZEIRAS&lt;/name&gt;
			&lt;Placemark&gt;
				&lt;name&gt;RUA PROJETADA 01 CAJAZEIRAS ( PORTAL DO PARNAIBA )&lt;/name&gt;
				&lt;styleUrl&gt;#m_ylw-pushpin&lt;/styleUrl&gt;
				&lt;LineString&gt;
					&lt;tessellate&gt;1&lt;/tessellate&gt;
					&lt;coordinates&gt;
						-42.84535069624839,-4.901886577428047,0 -42.84578986648258,-4.899266280582276,0 
					&lt;/coordinates&gt;
				&lt;/LineString&gt;
			&lt;/Placemark&gt;
			&lt;Placemark&gt;
				&lt;name&gt;FIM&lt;/name&gt;
				&lt;LookAt&gt;
					&lt;longitude&gt;-42.84505380149307&lt;/longitude&gt;
					&lt;latitude&gt;-4.90112322255311&lt;/latitude&gt;
					&lt;altitude&gt;0&lt;/altitude&gt;
					&lt;heading&gt;-1.686662828957738&lt;/heading&gt;
					&lt;tilt&gt;30.00195403305788&lt;/tilt&gt;
					&lt;range&gt;435.0816308383106&lt;/range&gt;
					&lt;gx:altitudeMode&gt;relativeToSeaFloor&lt;/gx:altitudeMode&gt;
				&lt;/LookAt&gt;
				&lt;styleUrl&gt;#m_ylw-pushpin1&lt;/styleUrl&gt;
				&lt;Point&gt;
					&lt;gx:drawOrder&gt;1&lt;/gx:drawOrder&gt;
					&lt;coordinates&gt;-42.84536045918785,-4.90189734779064,0&lt;/coordinates&gt;
				&lt;/Point&gt;
			&lt;/Placemark&gt;
			&lt;Placemark&gt;
				&lt;name&gt;INÍCIO&lt;/name&gt;
				&lt;LookAt&gt;
					&lt;longitude&gt;-42.80811579779007&lt;/longitude&gt;
					&lt;latitude&gt;-4.985159601868522&lt;/latitude&gt;
					&lt;altitude&gt;0&lt;/altitude&gt;
					&lt;heading&gt;-1.695765273998296&lt;/heading&gt;
					&lt;tilt&gt;4.165479003980681&lt;/tilt&gt;
					&lt;range&gt;8648.49238402823&lt;/range&gt;
					&lt;gx:altitudeMode&gt;relativeToSeaFloor&lt;/gx:altitudeMode&gt;
				&lt;/LookAt&gt;
				&lt;styleUrl&gt;#m_ylw-pushpin1&lt;/styleUrl&gt;
				&lt;Point&gt;
					&lt;gx:drawOrder&gt;1&lt;/gx:drawOrder&gt;
					&lt;coordinates&gt;-42.845775,-4.899242,0&lt;/coordinates&gt;
				&lt;/Point&gt;
			&lt;/Placemark&gt;
		&lt;/Folder&gt;
		&lt;Folder&gt;
			&lt;name&gt;RUA PROJETADA 02 POV. CAJAZEIRAS&lt;/name&gt;
			&lt;Placemark&gt;
				&lt;name&gt;RUA PROJETADA 02 POV. CAJAZEIRAS&lt;/name&gt;
				&lt;styleUrl&gt;#msn_ylw-pushpin1&lt;/styleUrl&gt;
				&lt;LineString&gt;
					&lt;tessellate&gt;1&lt;/tessellate&gt;
					&lt;coordinates&gt;
						-42.84579129931501,-4.899231755875035,0 -42.8477952839648,-4.899531013090312,0 
					&lt;/coordinates&gt;
				&lt;/LineString&gt;
			&lt;/Placemark&gt;
			&lt;Placemark&gt;
				&lt;name&gt;INÍCIO&lt;/name&gt;
				&lt;LookAt&gt;
					&lt;longitude&gt;-42.84752336640321&lt;/longitude&gt;
					&lt;latitude&gt;-4.899364598182717&lt;/latitude&gt;
					&lt;altitude&gt;0&lt;/altitude&gt;
					&lt;heading&gt;7.817272149049669e-06&lt;/heading&gt;
					&lt;tilt&gt;30.00090703531669&lt;/tilt&gt;
					&lt;range&gt;201.7773018160445&lt;/range&gt;
					&lt;gx:altitudeMode&gt;relativeToSeaFloor&lt;/gx:altitudeMode&gt;
				&lt;/LookAt&gt;
				&lt;styleUrl&gt;#m_ylw-pushpin1&lt;/styleUrl&gt;
				&lt;Point&gt;
					&lt;gx:drawOrder&gt;1&lt;/gx:drawOrder&gt;
					&lt;coordinates&gt;-42.84779087521343,-4.899534063915102,0&lt;/coordinates&gt;
				&lt;/Point&gt;
			&lt;/Placemark&gt;
			&lt;Placemark&gt;
				&lt;name&gt;FIM&lt;/name&gt;
				&lt;LookAt&gt;
					&lt;longitude&gt;-42.84662954343537&lt;/longitude&gt;
					&lt;latitude&gt;-4.900301609766715&lt;/latitude&gt;
					&lt;altitude&gt;0&lt;/altitude&gt;
					&lt;heading&gt;-8.050930531540695&lt;/heading&gt;
					&lt;tilt&gt;0&lt;/tilt&gt;
					&lt;range&gt;659.5220558285778&lt;/range&gt;
					&lt;gx:altitudeMode&gt;relativeToSeaFloor&lt;/gx:altitudeMode&gt;
				&lt;/LookAt&gt;
				&lt;styleUrl&gt;#m_ylw-pushpin1&lt;/styleUrl&gt;
				&lt;Point&gt;
					&lt;gx:drawOrder&gt;1&lt;/gx:drawOrder&gt;
					&lt;coordinates&gt;-42.84580190931629,-4.899233211623393,0&lt;/coordinates&gt;
				&lt;/Point&gt;
			&lt;/Placemark&gt;
		&lt;/Folder&gt;
	&lt;/Folder&gt;
&lt;/Document&gt;
&lt;/kml&gt;</t>
  </si>
  <si>
    <t>SEID</t>
  </si>
  <si>
    <t>REFORMA DA AMH</t>
  </si>
  <si>
    <t>PIÇARRA</t>
  </si>
  <si>
    <t>&lt;?xml version="1.0" encoding="UTF-8"?&gt;
&lt;kml xmlns="http://www.opengis.net/kml/2.2" xmlns:gx="http://www.google.com/kml/ext/2.2" xmlns:kml="http://www.opengis.net/kml/2.2" xmlns:atom="http://www.w3.org/2005/Atom"&gt;
&lt;Document id="document"&gt;
	&lt;name&gt;Mapa sem título&lt;/name&gt;
	&lt;gx:CascadingStyle kml:id="__managed_style_054AF7C5163F13F219A0_highlight"&gt;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kml:id="__managed_style_054AF7C5163F13F219A0_normal"&gt;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id="__managed_style_054AF7C5163F13F219A0"&gt;
		&lt;Pair&gt;
			&lt;key&gt;normal&lt;/key&gt;
			&lt;styleUrl&gt;#__managed_style_054AF7C5163F13F219A0_normal&lt;/styleUrl&gt;
		&lt;/Pair&gt;
		&lt;Pair&gt;
			&lt;key&gt;highlight&lt;/key&gt;
			&lt;styleUrl&gt;#__managed_style_054AF7C5163F13F219A0_highlight&lt;/styleUrl&gt;
		&lt;/Pair&gt;
	&lt;/StyleMap&gt;
	&lt;Placemark id="0A58C96B823F13FC130C"&gt;
		&lt;gx:mid&gt;/g/11gyxh540v&lt;/gx:mid&gt;
		&lt;gx:fid&gt;0x78e37417cd54997:0x8c16a93b4ba74e70&lt;/gx:fid&gt;
		&lt;LookAt&gt;
			&lt;longitude&gt;-42.7968891&lt;/longitude&gt;
			&lt;latitude&gt;-5.0971588&lt;/latitude&gt;
			&lt;altitude&gt;0&lt;/altitude&gt;
			&lt;heading&gt;0&lt;/heading&gt;
			&lt;tilt&gt;0&lt;/tilt&gt;
			&lt;gx:fovy&gt;35&lt;/gx:fovy&gt;
			&lt;range&gt;1051.865297631882&lt;/range&gt;
			&lt;altitudeMode&gt;relativeToGround&lt;/altitudeMode&gt;
		&lt;/LookAt&gt;
		&lt;styleUrl&gt;#__managed_style_054AF7C5163F13F219A0&lt;/styleUrl&gt;
		&lt;Point&gt;
			&lt;altitudeMode&gt;relativeToGround&lt;/altitudeMode&gt;
			&lt;coordinates&gt;-42.7969015,-5.0971996,0&lt;/coordinates&gt;
		&lt;/Point&gt;
	&lt;/Placemark&gt;
&lt;/Document&gt;
&lt;/kml&gt;</t>
  </si>
  <si>
    <t>CONSTRUÇÃO E MONTAGEM DE SUBESTAÇÃO ÁEREA TRIFÁSICA DE 300KVA NO CAMPUS POETA TORQUATO NETO EM TERESINA-PI.</t>
  </si>
  <si>
    <t>MANUTENÇÃO PREDIAL NO CAMPUS TORQUATO NETO</t>
  </si>
  <si>
    <t>EXECUÇÃO DOS SERVIÇOS DE UMA ACADEMIA POPULAR, ZONA URBANA NO BAIRRO PORTAL DA ALEGRIA, COM AREA DE 150,00 M² NO MUNICIPIO DE TERESINA - PI. CONT. Nº 65/2025 - ECC. (OPA)</t>
  </si>
  <si>
    <t>PORTO DA ALEGRIA</t>
  </si>
  <si>
    <t>&lt;?xml version="1.0" encoding="UTF-8"?&gt;
&lt;kml xmlns="http://www.opengis.net/kml/2.2" xmlns:gx="http://www.google.com/kml/ext/2.2" xmlns:kml="http://www.opengis.net/kml/2.2" xmlns:atom="http://www.w3.org/2005/Atom"&gt;
&lt;Document&gt;
	&lt;name&gt;ID 14516 - OPA - ACADEMIA PORTAL DA ALEGRIA.kmz&lt;/name&gt;
	&lt;open&gt;1&lt;/open&gt;
	&lt;atom:link rel="app" href="https://www.google.com/earth/about/versions/#earth-pro" title="Google Earth Pro 7.3.6.10201"&gt;&lt;/atom:link&gt;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&lt;LineStyle&gt;
			&lt;color&gt;ff00ffff&lt;/color&gt;
			&lt;width&gt;5&lt;/width&gt;
		&lt;/LineStyle&gt;
	&lt;/Style&gt;
	&lt;Style id="s_ylw-pushpin_hl"&gt;
		&lt;IconStyle&gt;
			&lt;scale&gt;1.3&lt;/scale&gt;
			&lt;Icon&gt;
				&lt;href&gt;http://maps.google.com/mapfiles/kml/pushpin/ylw-pushpin.png&lt;/href&gt;
			&lt;/Icon&gt;
			&lt;hotSpot x="20" y="2" xunits="pixels" yunits="pixels"/&gt;
		&lt;/IconStyle&gt;
		&lt;LineStyle&gt;
			&lt;color&gt;ff00ffff&lt;/color&gt;
			&lt;width&gt;5&lt;/width&gt;
		&lt;/LineStyle&gt;
	&lt;/Style&gt;
	&lt;Placemark&gt;
		&lt;name&gt;ACADEMIA POPULAR - PORTAL DA ALEGRIA&lt;/name&gt;
		&lt;styleUrl&gt;#m_ylw-pushpin&lt;/styleUrl&gt;
		&lt;LineString&gt;
			&lt;tessellate&gt;1&lt;/tessellate&gt;
			&lt;coordinates&gt;
				-42.74732575517189,-5.196795728084883,0 -42.74726155104704,-5.196790393382256,0 -42.74726750042421,-5.19671734743313,0 -42.74733295588394,-5.196723059395438,0 -42.74732575517189,-5.196795728084883,0 
			&lt;/coordinates&gt;
		&lt;/LineString&gt;
	&lt;/Placemark&gt;
&lt;/Document&gt;
&lt;/kml&gt;</t>
  </si>
  <si>
    <t>CONSTRUÇÃO DE PRAÇA NO BAIRRO VILA MARIA COM ÁREA DE 560,00 M² NO MUNICÍPIO DE TERESINA-PI. CONT. 23/2024 - VM LTDA</t>
  </si>
  <si>
    <t>PORTO DO CENTRO</t>
  </si>
  <si>
    <t>&lt;?xml version="1.0" encoding="UTF-8"?&gt;
&lt;kml xmlns="http://www.opengis.net/kml/2.2" xmlns:gx="http://www.google.com/kml/ext/2.2" xmlns:kml="http://www.opengis.net/kml/2.2" xmlns:atom="http://www.w3.org/2005/Atom"&gt;
&lt;Document&gt;
	&lt;name&gt;PRAÇA, BAIRRO VILA MARIA, TERESINA-PI.kmz&lt;/name&gt;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&lt;name&gt;PRAÇA, BAIRRO VILA MARIA, TERESINA-PI&lt;/name&gt;
		&lt;LookAt&gt;
			&lt;longitude&gt;-42.74932345305572&lt;/longitude&gt;
			&lt;latitude&gt;-5.043695077951503&lt;/latitude&gt;
			&lt;altitude&gt;0&lt;/altitude&gt;
			&lt;heading&gt;-0.175495618582833&lt;/heading&gt;
			&lt;tilt&gt;0&lt;/tilt&gt;
			&lt;range&gt;363.4456546804628&lt;/range&gt;
			&lt;gx:altitudeMode&gt;relativeToSeaFloor&lt;/gx:altitudeMode&gt;
		&lt;/LookAt&gt;
		&lt;styleUrl&gt;#m_ylw-pushpin&lt;/styleUrl&gt;
		&lt;Point&gt;
			&lt;gx:drawOrder&gt;1&lt;/gx:drawOrder&gt;
			&lt;coordinates&gt;-42.749197,-5.043765,0&lt;/coordinates&gt;
		&lt;/Point&gt;
		&lt;atom:link rel="app" href="https://www.google.com/earth/about/versions/#earth-pro" title="Google Earth Pro 7.3.6.10441"&gt;&lt;/atom:link&gt;
	&lt;/Placemark&gt;
&lt;/Document&gt;
&lt;/kml&gt;</t>
  </si>
  <si>
    <t>OBRAS E SERVIÇOS DE PAVIMENTAÇÃO EM PARALELEPÍPEDO EM TRECHOS DO PLANALTO URUGUAI, VERDE LAR, PORTO DO CENTRO, VALE QUEM TEM, LOCALIZADOS NO MUNICÍPIO DE TERESINA-PI</t>
  </si>
  <si>
    <t>&lt;?xml version="1.0" encoding="UTF-8"?&gt;
&lt;kml xmlns="http://www.opengis.net/kml/2.2" xmlns:gx="http://www.google.com/kml/ext/2.2" xmlns:kml="http://www.opengis.net/kml/2.2" xmlns:atom="http://www.w3.org/2005/Atom"&gt;
&lt;Document&gt;
	&lt;name&gt;PLANALTO URUGUAI  - 23.2022.kmz&lt;/name&gt;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&lt;LineStyle&gt;
			&lt;color&gt;ff0000ff&lt;/color&gt;
			&lt;width&gt;7&lt;/width&gt;
		&lt;/LineStyle&gt;
	&lt;/Style&gt;
	&lt;Style id="s_ylw-pushpin_hl"&gt;
		&lt;IconStyle&gt;
			&lt;scale&gt;1.3&lt;/scale&gt;
			&lt;Icon&gt;
				&lt;href&gt;http://maps.google.com/mapfiles/kml/pushpin/ylw-pushpin.png&lt;/href&gt;
			&lt;/Icon&gt;
			&lt;hotSpot x="20" y="2" xunits="pixels" yunits="pixels"/&gt;
		&lt;/IconStyle&gt;
		&lt;LineStyle&gt;
			&lt;color&gt;ff0000ff&lt;/color&gt;
			&lt;width&gt;7&lt;/width&gt;
		&lt;/LineStyle&gt;
	&lt;/Style&gt;
	&lt;Placemark&gt;
		&lt;name&gt;Caminho sem título&lt;/name&gt;
		&lt;styleUrl&gt;#m_ylw-pushpin&lt;/styleUrl&gt;
		&lt;LineString&gt;
			&lt;tessellate&gt;1&lt;/tessellate&gt;
			&lt;coordinates&gt;
				-42.75817676967298,-5.043142587664614,0 -42.75736592318313,-5.043075823430751,0 
			&lt;/coordinates&gt;
		&lt;/LineString&gt;
		&lt;atom:link rel="app" href="https://www.google.com/earth/about/versions/#earth-pro" title="Google Earth Pro 7.3.6.10201"&gt;&lt;/atom:link&gt;
	&lt;/Placemark&gt;
&lt;/Document&gt;
&lt;/kml&gt;</t>
  </si>
  <si>
    <t>CONSTRUÇÃO PARA IMPLANTAÇÃO E PAVIMENTAÇÃO EM PARALELEPÍPEDO NO POVOADO CAJAZEIRAS (2.940M²), NO MUNICÍPIO DE TERESINA - PI</t>
  </si>
  <si>
    <t>POVOADO CAJAZEIRAS</t>
  </si>
  <si>
    <t>PAVIMENTAÇÃO EM PARALELEPÍPEDO DE 9600 M² NO POVOADO MUCUIM NO MUNICÍPIO DE TERESINA - PI 133/2023</t>
  </si>
  <si>
    <t>POVOADO MUCUIM</t>
  </si>
  <si>
    <t>EXECUÇÃO DE PAVIMENTAÇÃO EM PARALELEPÍPEDO EM VIAS DO MUNICÍPIO DE TERESINA -PI, TOTALIZANDO 7.180,00 M²</t>
  </si>
  <si>
    <t>POVOADO TORRÕES, BAIRRO ANGELIM , POVOADO ANAJAS</t>
  </si>
  <si>
    <t xml:space="preserve"> SUL, RURAL E RURAL LESTE</t>
  </si>
  <si>
    <t>REFORMA DE UMA PRAÇA NO BAIRRO RENASCENÇA NO MUNICÍPIO DE TERESINA - PI, COM 8.545,17 M². CONT. Nº 17/2025 - VM. (OPA)</t>
  </si>
  <si>
    <t>RENASCENÇA</t>
  </si>
  <si>
    <t>&lt;?xml version="1.0" encoding="UTF-8"?&gt;
&lt;kml xmlns="http://www.opengis.net/kml/2.2" xmlns:gx="http://www.google.com/kml/ext/2.2" xmlns:kml="http://www.opengis.net/kml/2.2" xmlns:atom="http://www.w3.org/2005/Atom"&gt;
&lt;Document&gt;
	&lt;name&gt;ID-14618 - PRAÇA - TERESINA.kmz&lt;/name&gt;
	&lt;StyleMap id="m_ylw-pushpin"&gt;
		&lt;Pair&gt;
			&lt;key&gt;normal&lt;/key&gt;
			&lt;styleUrl&gt;#s_ylw-pushpin&lt;/styleUrl&gt;
		&lt;/Pair&gt;
		&lt;Pair&gt;
			&lt;key&gt;highlight&lt;/key&gt;
			&lt;styleUrl&gt;#s_ylw-pushpin_hl&lt;/styleUrl&gt;
		&lt;/Pair&gt;
	&lt;/StyleMap&gt;
	&lt;StyleMap id="m_ylw-pushpin0"&gt;
		&lt;Pair&gt;
			&lt;key&gt;normal&lt;/key&gt;
			&lt;styleUrl&gt;#s_ylw-pushpin0&lt;/styleUrl&gt;
		&lt;/Pair&gt;
		&lt;Pair&gt;
			&lt;key&gt;highlight&lt;/key&gt;
			&lt;styleUrl&gt;#s_ylw-pushpin_hl0&lt;/styleUrl&gt;
		&lt;/Pair&gt;
	&lt;/StyleMap&gt;
	&lt;Style id="s_ylw-pushpin"&gt;
		&lt;IconStyle&gt;
			&lt;scale&gt;1.1&lt;/scale&gt;
			&lt;Icon&gt;
				&lt;href&gt;http://maps.google.com/mapfiles/kml/pushpin/ylw-pushpin.png&lt;/href&gt;
			&lt;/Icon&gt;
			&lt;hotSpot x="20" y="2" xunits="pixels" yunits="pixels"/&gt;
		&lt;/IconStyle&gt;
		&lt;LineStyle&gt;
			&lt;width&gt;2&lt;/width&gt;
		&lt;/LineStyle&gt;
	&lt;/Style&gt;
	&lt;Style id="s_ylw-pushpin0"&gt;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&lt;LineStyle&gt;
			&lt;width&gt;2&lt;/width&gt;
		&lt;/LineStyle&gt;
	&lt;/Style&gt;
	&lt;Style id="s_ylw-pushpin_hl0"&gt;
		&lt;IconStyle&gt;
			&lt;scale&gt;1.3&lt;/scale&gt;
			&lt;Icon&gt;
				&lt;href&gt;http://maps.google.com/mapfiles/kml/pushpin/ylw-pushpin.png&lt;/href&gt;
			&lt;/Icon&gt;
			&lt;hotSpot x="20" y="2" xunits="pixels" yunits="pixels"/&gt;
		&lt;/IconStyle&gt;
	&lt;/Style&gt;
	&lt;Folder&gt;
		&lt;name&gt;ID-14618 - PRAÇA - TERESINA&lt;/name&gt;
		&lt;open&gt;1&lt;/open&gt;
		&lt;Placemark&gt;
			&lt;name&gt;ID-14618 - PRAÇA - TERESINA&lt;/name&gt;
			&lt;LookAt&gt;
				&lt;longitude&gt;-42.73925967129604&lt;/longitude&gt;
				&lt;latitude&gt;-5.104485798407723&lt;/latitude&gt;
				&lt;altitude&gt;0&lt;/altitude&gt;
				&lt;heading&gt;6.361109362927034e-15&lt;/heading&gt;
				&lt;tilt&gt;44.99999999999996&lt;/tilt&gt;
				&lt;range&gt;999.999999998711&lt;/range&gt;
				&lt;gx:altitudeMode&gt;relativeToSeaFloor&lt;/gx:altitudeMode&gt;
			&lt;/LookAt&gt;
			&lt;styleUrl&gt;#m_ylw-pushpin0&lt;/styleUrl&gt;
			&lt;Point&gt;
				&lt;gx:drawOrder&gt;1&lt;/gx:drawOrder&gt;
				&lt;coordinates&gt;-42.73925967129604,-5.104485798407718,0&lt;/coordinates&gt;
			&lt;/Point&gt;
		&lt;/Placemark&gt;
		&lt;Placemark&gt;
			&lt;name&gt;ID-14618 - PRAÇA - TERESINA&lt;/name&gt;
			&lt;styleUrl&gt;#m_ylw-pushpin&lt;/styleUrl&gt;
			&lt;LineString&gt;
				&lt;tessellate&gt;1&lt;/tessellate&gt;
				&lt;coordinates&gt;
					-42.73980321487494,-5.104279657914747,0 -42.73903132094716,-5.103948201755795,0 -42.73871472151975,-5.104686578574382,0 -42.73948724667419,-5.10499656157918,0 -42.73980321487494,-5.104279657914747,0 
				&lt;/coordinates&gt;
			&lt;/LineString&gt;
		&lt;/Placemark&gt;
		&lt;atom:link rel="app" href="https://www.google.com/earth/about/versions/#earth-pro" title="Google Earth Pro 7.3.6.10201"&gt;&lt;/atom:link&gt;
	&lt;/Folder&gt;
&lt;/Document&gt;
&lt;/kml&gt;</t>
  </si>
  <si>
    <t>REFORMA DO MERCADO PÚBLICO RENASCENÇA I, BAIRRO RENASCENÇA I, MUNICÍPIO DE TERESINA – PI. CONT. 65/2024 - ENGEPROL</t>
  </si>
  <si>
    <t>&lt;?xml version="1.0" encoding="UTF-8"?&gt;
&lt;kml xmlns="http://www.opengis.net/kml/2.2" xmlns:gx="http://www.google.com/kml/ext/2.2" xmlns:kml="http://www.opengis.net/kml/2.2" xmlns:atom="http://www.w3.org/2005/Atom"&gt;
&lt;Document&gt;
	&lt;name&gt;MERCADO RENASNCEÇA I.kmz&lt;/name&gt;
	&lt;open&gt;1&lt;/open&gt;
	&lt;atom:link rel="app" href="https://www.google.com/earth/about/versions/#earth-pro" title="Google Earth Pro 7.3.6.10201"&gt;&lt;/atom:link&gt;
	&lt;StyleMap id="m_ylw-pushpin"&gt;
		&lt;Pair&gt;
			&lt;key&gt;normal&lt;/key&gt;
			&lt;styleUrl&gt;#s_ylw-pushpin00&lt;/styleUrl&gt;
		&lt;/Pair&gt;
		&lt;Pair&gt;
			&lt;key&gt;highlight&lt;/key&gt;
			&lt;styleUrl&gt;#s_ylw-pushpin_hl00&lt;/styleUrl&gt;
		&lt;/Pair&gt;
	&lt;/StyleMap&gt;
	&lt;StyleMap id="m_ylw-pushpin0"&gt;
		&lt;Pair&gt;
			&lt;key&gt;normal&lt;/key&gt;
			&lt;styleUrl&gt;#s_ylw-pushpin&lt;/styleUrl&gt;
		&lt;/Pair&gt;
		&lt;Pair&gt;
			&lt;key&gt;highlight&lt;/key&gt;
			&lt;styleUrl&gt;#s_ylw-pushpin_hl2&lt;/styleUrl&gt;
		&lt;/Pair&gt;
	&lt;/StyleMap&gt;
	&lt;Style id="s_ylw-pushpin"&gt;
		&lt;IconStyle&gt;
			&lt;scale&gt;1.1&lt;/scale&gt;
			&lt;Icon&gt;
				&lt;href&gt;http://maps.google.com/mapfiles/kml/pushpin/ylw-pushpin.png&lt;/href&gt;
			&lt;/Icon&gt;
			&lt;hotSpot x="20" y="2" xunits="pixels" yunits="pixels"/&gt;
		&lt;/IconStyle&gt;
		&lt;LineStyle&gt;
			&lt;color&gt;ff00ff00&lt;/color&gt;
			&lt;width&gt;5&lt;/width&gt;
		&lt;/LineStyle&gt;
	&lt;/Style&gt;
	&lt;Style id="s_ylw-pushpin00"&gt;
		&lt;IconStyle&gt;
			&lt;scale&gt;1.1&lt;/scale&gt;
			&lt;Icon&gt;
				&lt;href&gt;http://maps.google.com/mapfiles/kml/pushpin/ylw-pushpin.png&lt;/href&gt;
			&lt;/Icon&gt;
			&lt;hotSpot x="20" y="2" xunits="pixels" yunits="pixels"/&gt;
		&lt;/IconStyle&gt;
	&lt;/Style&gt;
	&lt;Style id="s_ylw-pushpin_hl00"&gt;
		&lt;IconStyle&gt;
			&lt;scale&gt;1.3&lt;/scale&gt;
			&lt;Icon&gt;
				&lt;href&gt;http://maps.google.com/mapfiles/kml/pushpin/ylw-pushpin.png&lt;/href&gt;
			&lt;/Icon&gt;
			&lt;hotSpot x="20" y="2" xunits="pixels" yunits="pixels"/&gt;
		&lt;/IconStyle&gt;
	&lt;/Style&gt;
	&lt;Style id="s_ylw-pushpin_hl2"&gt;
		&lt;IconStyle&gt;
			&lt;scale&gt;1.3&lt;/scale&gt;
			&lt;Icon&gt;
				&lt;href&gt;http://maps.google.com/mapfiles/kml/pushpin/ylw-pushpin.png&lt;/href&gt;
			&lt;/Icon&gt;
			&lt;hotSpot x="20" y="2" xunits="pixels" yunits="pixels"/&gt;
		&lt;/IconStyle&gt;
		&lt;LineStyle&gt;
			&lt;color&gt;ff00ff00&lt;/color&gt;
			&lt;width&gt;5&lt;/width&gt;
		&lt;/LineStyle&gt;
	&lt;/Style&gt;
	&lt;Folder&gt;
		&lt;name&gt;MERCADO RENASNCEÇA I&lt;/name&gt;
		&lt;open&gt;1&lt;/open&gt;
		&lt;Placemark&gt;
			&lt;name&gt;MERCADO RENASCENÇA I  -5.105166° -42.740233°&lt;/name&gt;
			&lt;LookAt&gt;
				&lt;longitude&gt;-42.74004596139326&lt;/longitude&gt;
				&lt;latitude&gt;-5.105148374768617&lt;/latitude&gt;
				&lt;altitude&gt;0&lt;/altitude&gt;
				&lt;heading&gt;-6.488695673205308e-06&lt;/heading&gt;
				&lt;tilt&gt;7.811744529900771&lt;/tilt&gt;
				&lt;range&gt;223.3701048196474&lt;/range&gt;
				&lt;gx:altitudeMode&gt;relativeToSeaFloor&lt;/gx:altitudeMode&gt;
			&lt;/LookAt&gt;
			&lt;styleUrl&gt;#m_ylw-pushpin&lt;/styleUrl&gt;
			&lt;Point&gt;
				&lt;gx:drawOrder&gt;1&lt;/gx:drawOrder&gt;
				&lt;coordinates&gt;-42.740233,-5.105166,0&lt;/coordinates&gt;
			&lt;/Point&gt;
		&lt;/Placemark&gt;
		&lt;Placemark&gt;
			&lt;name&gt;DELIMITAÇÃO DE MERCADO RENASCENÇA I&lt;/name&gt;
			&lt;styleUrl&gt;#m_ylw-pushpin0&lt;/styleUrl&gt;
			&lt;LineString&gt;
				&lt;tessellate&gt;1&lt;/tessellate&gt;
				&lt;coordinates&gt;
					-42.74043803412908,-5.105132241775128,0 -42.74009163116766,-5.104984206447254,0 -42.74001009376647,-5.105180657105741,0 -42.74035692623239,-5.105327020190677,0 -42.74043803412908,-5.105132241775128,0 
				&lt;/coordinates&gt;
			&lt;/LineString&gt;
		&lt;/Placemark&gt;
	&lt;/Folder&gt;
&lt;/Document&gt;
&lt;/kml&gt;</t>
  </si>
  <si>
    <t>PAVIMENTAÇÃO EM PARALELEPÍPEDO DE 5.670,00 M² DE RUAS NO POVOADO SANTA HELENA NO MUNICÍPIO DE TERESINA- PI</t>
  </si>
  <si>
    <t>SANTA HELENA</t>
  </si>
  <si>
    <t>&lt;?xml version="1.0" encoding="UTF-8"?&gt;
&lt;kml xmlns="http://www.opengis.net/kml/2.2" xmlns:gx="http://www.google.com/kml/ext/2.2" xmlns:kml="http://www.opengis.net/kml/2.2" xmlns:atom="http://www.w3.org/2005/Atom"&gt;
&lt;Document id="document"&gt;
	&lt;name&gt;Mapa sem título&lt;/name&gt;
	&lt;gx:CascadingStyle kml:id="__managed_style_012EB8A4B63F13F4FC10_highlight"&gt;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kml:id="__managed_style_012EB8A4B63F13F4FC10_normal"&gt;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id="__managed_style_012EB8A4B63F13F4FC10"&gt;
		&lt;Pair&gt;
			&lt;key&gt;normal&lt;/key&gt;
			&lt;styleUrl&gt;#__managed_style_012EB8A4B63F13F4FC10_normal&lt;/styleUrl&gt;
		&lt;/Pair&gt;
		&lt;Pair&gt;
			&lt;key&gt;highlight&lt;/key&gt;
			&lt;styleUrl&gt;#__managed_style_012EB8A4B63F13F4FC10_highlight&lt;/styleUrl&gt;
		&lt;/Pair&gt;
	&lt;/StyleMap&gt;
	&lt;Placemark id="02AEFC06153F13F51A00"&gt;
		&lt;name&gt;Caminho sem título&lt;/name&gt;
		&lt;LookAt&gt;
			&lt;longitude&gt;-42.86408037428289&lt;/longitude&gt;
			&lt;latitude&gt;-4.91266065018029&lt;/latitude&gt;
			&lt;altitude&gt;80.36731715266801&lt;/altitude&gt;
			&lt;heading&gt;-12.53345731949275&lt;/heading&gt;
			&lt;tilt&gt;27.44719761567652&lt;/tilt&gt;
			&lt;gx:fovy&gt;35&lt;/gx:fovy&gt;
			&lt;range&gt;746.5082457921383&lt;/range&gt;
			&lt;altitudeMode&gt;absolute&lt;/altitudeMode&gt;
		&lt;/LookAt&gt;
		&lt;styleUrl&gt;#__managed_style_012EB8A4B63F13F4FC10&lt;/styleUrl&gt;
		&lt;LineString&gt;
			&lt;coordinates&gt;
				-42.86534111567045,-4.91263086172715,0 -42.86475929386478,-4.912415284777286,0 
			&lt;/coordinates&gt;
		&lt;/LineString&gt;
	&lt;/Placemark&gt;
	&lt;Placemark id="071358DE793F13F609A8"&gt;
		&lt;name&gt;Caminho sem título&lt;/name&gt;
		&lt;LookAt&gt;
			&lt;longitude&gt;-42.86481720012554&lt;/longitude&gt;
			&lt;latitude&gt;-4.912506560586237&lt;/latitude&gt;
			&lt;altitude&gt;79.98675170270334&lt;/altitude&gt;
			&lt;heading&gt;-18.44212911944447&lt;/heading&gt;
			&lt;tilt&gt;26.31596978701369&lt;/tilt&gt;
			&lt;gx:fovy&gt;35&lt;/gx:fovy&gt;
			&lt;range&gt;346.5456712274317&lt;/range&gt;
			&lt;altitudeMode&gt;absolute&lt;/altitudeMode&gt;
		&lt;/LookAt&gt;
		&lt;styleUrl&gt;#__managed_style_012EB8A4B63F13F4FC10&lt;/styleUrl&gt;
		&lt;LineString&gt;
			&lt;coordinates&gt;
				-42.86620780639552,-4.912142164368135,0 -42.86581225696777,-4.913226276640009,0 -42.86524387270293,-4.913037251911545,0 -42.86536281305397,-4.912637340379314,0 
			&lt;/coordinates&gt;
		&lt;/LineString&gt;
	&lt;/Placemark&gt;
	&lt;Placemark id="084A8FC8063F13F61F44"&gt;
		&lt;name&gt;Caminho sem título&lt;/name&gt;
		&lt;LookAt&gt;
			&lt;longitude&gt;-42.86481720012554&lt;/longitude&gt;
			&lt;latitude&gt;-4.912506560586237&lt;/latitude&gt;
			&lt;altitude&gt;79.98675170270334&lt;/altitude&gt;
			&lt;heading&gt;-18.44212911944462&lt;/heading&gt;
			&lt;tilt&gt;26.31596978701368&lt;/tilt&gt;
			&lt;gx:fovy&gt;35&lt;/gx:fovy&gt;
			&lt;range&gt;346.5456712274317&lt;/range&gt;
			&lt;altitudeMode&gt;absolute&lt;/altitudeMode&gt;
		&lt;/LookAt&gt;
		&lt;styleUrl&gt;#__managed_style_012EB8A4B63F13F4FC10&lt;/styleUrl&gt;
		&lt;LineString&gt;
			&lt;coordinates&gt;
				-42.86476582735354,-4.912400821068767,0 -42.86499905773714,-4.911729486238471,0 
			&lt;/coordinates&gt;
		&lt;/LineString&gt;
	&lt;/Placemark&gt;
	&lt;Placemark id="01FFB8AB653F13F653A8"&gt;
		&lt;name&gt;Caminho sem título&lt;/name&gt;
		&lt;LookAt&gt;
			&lt;longitude&gt;-42.86590818896099&lt;/longitude&gt;
			&lt;latitude&gt;-4.912325725879359&lt;/latitude&gt;
			&lt;altitude&gt;78.01041079601205&lt;/altitude&gt;
			&lt;heading&gt;-18.44219220443934&lt;/heading&gt;
			&lt;tilt&gt;26.31889612608589&lt;/tilt&gt;
			&lt;gx:fovy&gt;35&lt;/gx:fovy&gt;
			&lt;range&gt;1080.583348749642&lt;/range&gt;
			&lt;altitudeMode&gt;absolute&lt;/altitudeMode&gt;
		&lt;/LookAt&gt;
		&lt;styleUrl&gt;#__managed_style_012EB8A4B63F13F4FC10&lt;/styleUrl&gt;
		&lt;LineString&gt;
			&lt;coordinates&gt;
				-42.86404785791317,-4.91133668842901,0 -42.86322872037849,-4.913551139143071,0 
			&lt;/coordinates&gt;
		&lt;/LineString&gt;
	&lt;/Placemark&gt;
	&lt;Placemark id="060A7348DF3F13F66CB0"&gt;
		&lt;name&gt;Caminho sem título&lt;/name&gt;
		&lt;LookAt&gt;
			&lt;longitude&gt;-42.86590818896099&lt;/longitude&gt;
			&lt;latitude&gt;-4.912325725879359&lt;/latitude&gt;
			&lt;altitude&gt;78.01041079601205&lt;/altitude&gt;
			&lt;heading&gt;-18.44219220443934&lt;/heading&gt;
			&lt;tilt&gt;26.31889612608589&lt;/tilt&gt;
			&lt;gx:fovy&gt;35&lt;/gx:fovy&gt;
			&lt;range&gt;1080.583348749642&lt;/range&gt;
			&lt;altitudeMode&gt;absolute&lt;/altitudeMode&gt;
		&lt;/LookAt&gt;
		&lt;styleUrl&gt;#__managed_style_012EB8A4B63F13F4FC10&lt;/styleUrl&gt;
		&lt;LineString&gt;
			&lt;coordinates&gt;
				-42.86360339759287,-4.912475090320176,0 -42.86125956016346,-4.911592569653156,0 
			&lt;/coordinates&gt;
		&lt;/LineString&gt;
	&lt;/Placemark&gt;
	&lt;Placemark id="03151F8DB23F13F683C4"&gt;
		&lt;name&gt;Marcador de local sem título&lt;/name&gt;
		&lt;LookAt&gt;
			&lt;longitude&gt;-42.86590818896099&lt;/longitude&gt;
			&lt;latitude&gt;-4.912325725879359&lt;/latitude&gt;
			&lt;altitude&gt;78.01041079601205&lt;/altitude&gt;
			&lt;heading&gt;-18.44219220443934&lt;/heading&gt;
			&lt;tilt&gt;26.31889612608589&lt;/tilt&gt;
			&lt;gx:fovy&gt;35&lt;/gx:fovy&gt;
			&lt;range&gt;1080.583348749642&lt;/range&gt;
			&lt;altitudeMode&gt;absolute&lt;/altitudeMode&gt;
		&lt;/LookAt&gt;
		&lt;styleUrl&gt;#__managed_style_012EB8A4B63F13F4FC10&lt;/styleUrl&gt;
		&lt;Point&gt;
			&lt;coordinates&gt;-42.86619338115015,-4.912158224226252,77.21956714171286&lt;/coordinates&gt;
		&lt;/Point&gt;
	&lt;/Placemark&gt;
	&lt;Placemark id="0EE4980C373F13F693EC"&gt;
		&lt;name&gt;Marcador de local sem título&lt;/name&gt;
		&lt;LookAt&gt;
			&lt;longitude&gt;-42.86590818896099&lt;/longitude&gt;
			&lt;latitude&gt;-4.912325725879359&lt;/latitude&gt;
			&lt;altitude&gt;78.01041079601205&lt;/altitude&gt;
			&lt;heading&gt;-18.44219220443934&lt;/heading&gt;
			&lt;tilt&gt;26.31889612608583&lt;/tilt&gt;
			&lt;gx:fovy&gt;35&lt;/gx:fovy&gt;
			&lt;range&gt;1080.583348749642&lt;/range&gt;
			&lt;altitudeMode&gt;absolute&lt;/altitudeMode&gt;
		&lt;/LookAt&gt;
		&lt;styleUrl&gt;#__managed_style_012EB8A4B63F13F4FC10&lt;/styleUrl&gt;
		&lt;Point&gt;
			&lt;coordinates&gt;-42.86128444603671,-4.91159408003977,77.68378659397418&lt;/coordinates&gt;
		&lt;/Point&gt;
	&lt;/Placemark&gt;
	&lt;Placemark id="0B41155F573F13F6A08F"&gt;
		&lt;name&gt;Marcador de local sem título&lt;/name&gt;
		&lt;LookAt&gt;
			&lt;longitude&gt;-42.86590818896099&lt;/longitude&gt;
			&lt;latitude&gt;-4.912325725879359&lt;/latitude&gt;
			&lt;altitude&gt;78.01041079601205&lt;/altitude&gt;
			&lt;heading&gt;-18.44219220443934&lt;/heading&gt;
			&lt;tilt&gt;26.31889612608583&lt;/tilt&gt;
			&lt;gx:fovy&gt;35&lt;/gx:fovy&gt;
			&lt;range&gt;1080.583348749642&lt;/range&gt;
			&lt;altitudeMode&gt;absolute&lt;/altitudeMode&gt;
		&lt;/LookAt&gt;
		&lt;styleUrl&gt;#__managed_style_012EB8A4B63F13F4FC10&lt;/styleUrl&gt;
		&lt;Point&gt;
			&lt;coordinates&gt;-42.86403930806208,-4.911372761014285,80.47259894193014&lt;/coordinates&gt;
		&lt;/Point&gt;
	&lt;/Placemark&gt;
&lt;/Document&gt;
&lt;/kml&gt;</t>
  </si>
  <si>
    <t>PAVIMENTAÇÃO ASFÁLTICA EM CBQU DE 9.891,63 M² EM DIVERSAS RUAS DO MUNICPIO DE TERESINA-PI, INTEGRADO À LOTE 3- MACRORREGIÃO 2-MEIO NORTE (BASE TERESINA)</t>
  </si>
  <si>
    <t>&lt;?xml version="1.0" encoding="UTF-8"?&gt;
&lt;kml xmlns="http://www.opengis.net/kml/2.2" xmlns:gx="http://www.google.com/kml/ext/2.2" xmlns:kml="http://www.opengis.net/kml/2.2" xmlns:atom="http://www.w3.org/2005/Atom"&gt;
&lt;Document id="document"&gt;
	&lt;name&gt;Mapa sem título&lt;/name&gt;
	&lt;gx:CascadingStyle kml:id="__managed_style_0F9310CCF83F13A8AB73_highlight"&gt;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kml:id="__managed_style_0F9310CCF83F13A8AB73_normal"&gt;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id="__managed_style_0F9310CCF83F13A8AB73"&gt;
		&lt;Pair&gt;
			&lt;key&gt;normal&lt;/key&gt;
			&lt;styleUrl&gt;#__managed_style_0F9310CCF83F13A8AB73_normal&lt;/styleUrl&gt;
		&lt;/Pair&gt;
		&lt;Pair&gt;
			&lt;key&gt;highlight&lt;/key&gt;
			&lt;styleUrl&gt;#__managed_style_0F9310CCF83F13A8AB73_highlight&lt;/styleUrl&gt;
		&lt;/Pair&gt;
	&lt;/StyleMap&gt;
	&lt;Placemark id="0137274D2A3F13A8AB44"&gt;
		&lt;name&gt;Caminho sem título&lt;/name&gt;
		&lt;LookAt&gt;
			&lt;longitude&gt;-42.84010555700821&lt;/longitude&gt;
			&lt;latitude&gt;-4.987000035516845&lt;/latitude&gt;
			&lt;altitude&gt;70.21774899872672&lt;/altitude&gt;
			&lt;heading&gt;0&lt;/heading&gt;
			&lt;tilt&gt;0&lt;/tilt&gt;
			&lt;gx:fovy&gt;35&lt;/gx:fovy&gt;
			&lt;range&gt;842.2417902261077&lt;/range&gt;
			&lt;altitudeMode&gt;absolute&lt;/altitudeMode&gt;
		&lt;/LookAt&gt;
		&lt;styleUrl&gt;#__managed_style_0F9310CCF83F13A8AB73&lt;/styleUrl&gt;
		&lt;LineString&gt;
			&lt;coordinates&gt;
				-42.84235038239357,-4.986703375862769,0 -42.83702969873683,-4.986504420237329,0 
			&lt;/coordinates&gt;
		&lt;/LineString&gt;
	&lt;/Placemark&gt;
	&lt;Placemark id="03F2E4D9E03F13A8F6D4"&gt;
		&lt;name&gt;Caminho sem título&lt;/name&gt;
		&lt;LookAt&gt;
			&lt;longitude&gt;-42.83835367792499&lt;/longitude&gt;
			&lt;latitude&gt;-4.985974055018005&lt;/latitude&gt;
			&lt;altitude&gt;73.3472784090426&lt;/altitude&gt;
			&lt;heading&gt;0&lt;/heading&gt;
			&lt;tilt&gt;0&lt;/tilt&gt;
			&lt;gx:fovy&gt;35&lt;/gx:fovy&gt;
			&lt;range&gt;1675.506618088984&lt;/range&gt;
			&lt;altitudeMode&gt;absolute&lt;/altitudeMode&gt;
		&lt;/LookAt&gt;
		&lt;styleUrl&gt;#__managed_style_0F9310CCF83F13A8AB73&lt;/styleUrl&gt;
		&lt;LineString&gt;
			&lt;coordinates&gt;
				-42.83704254419543,-4.986501544573289,0 -42.83093540858,-4.985639908392508,0 
			&lt;/coordinates&gt;
		&lt;/LineString&gt;
	&lt;/Placemark&gt;
	&lt;Placemark id="0B55992FB53F13A942C7"&gt;
		&lt;name&gt;Caminho sem título&lt;/name&gt;
		&lt;LookAt&gt;
			&lt;longitude&gt;-42.83834355602663&lt;/longitude&gt;
			&lt;latitude&gt;-4.986374078728345&lt;/latitude&gt;
			&lt;altitude&gt;73.52242765975565&lt;/altitude&gt;
			&lt;heading&gt;0&lt;/heading&gt;
			&lt;tilt&gt;0&lt;/tilt&gt;
			&lt;gx:fovy&gt;35&lt;/gx:fovy&gt;
			&lt;range&gt;1675.331395437825&lt;/range&gt;
			&lt;altitudeMode&gt;absolute&lt;/altitudeMode&gt;
		&lt;/LookAt&gt;
		&lt;styleUrl&gt;#__managed_style_0F9310CCF83F13A8AB73&lt;/styleUrl&gt;
		&lt;LineString&gt;
			&lt;coordinates&gt;
				-42.84057061369298,-4.987944973159471,0 -42.84077210883379,-4.985421448873793,0 
			&lt;/coordinates&gt;
		&lt;/LineString&gt;
	&lt;/Placemark&gt;
&lt;/Document&gt;
&lt;/kml&gt;</t>
  </si>
  <si>
    <t>EXECUÇÃO DE SERVIÇOS DE AMPLIAÇÃO DO SISTEMA DE DRENAGEM NO RESIDENCIAL MIRANTE SANTA MARIA, NO MUNICIPIO DE TERESINA-PI</t>
  </si>
  <si>
    <t>&lt;?xml version="1.0" encoding="UTF-8"?&gt;
&lt;kml xmlns="http://www.opengis.net/kml/2.2" xmlns:gx="http://www.google.com/kml/ext/2.2" xmlns:kml="http://www.opengis.net/kml/2.2" xmlns:atom="http://www.w3.org/2005/Atom"&gt;
&lt;Document id="document"&gt;
	&lt;name&gt;Mapa sem título&lt;/name&gt;
	&lt;gx:CascadingStyle kml:id="__managed_style_025CDF27F03F14498DE9_highlight"&gt;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&lt;width&gt;4.8&lt;/width&gt;
			&lt;/LineStyle&gt;
			&lt;PolyStyle&gt;
				&lt;color&gt;40ffffff&lt;/color&gt;
			&lt;/PolyStyle&gt;
			&lt;BalloonStyle&gt;
				&lt;displayMode&gt;hide&lt;/displayMode&gt;
			&lt;/BalloonStyle&gt;
		&lt;/Style&gt;
	&lt;/gx:CascadingStyle&gt;
	&lt;gx:CascadingStyle kml:id="__managed_style_025CDF27F03F14498DE9_normal"&gt;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&lt;width&gt;3.2&lt;/width&gt;
			&lt;/LineStyle&gt;
			&lt;PolyStyle&gt;
				&lt;color&gt;40ffffff&lt;/color&gt;
			&lt;/PolyStyle&gt;
			&lt;BalloonStyle&gt;
				&lt;displayMode&gt;hide&lt;/displayMode&gt;
			&lt;/BalloonStyle&gt;
		&lt;/Style&gt;
	&lt;/gx:CascadingStyle&gt;
	&lt;StyleMap id="__managed_style_025CDF27F03F14498DE9"&gt;
		&lt;Pair&gt;
			&lt;key&gt;normal&lt;/key&gt;
			&lt;styleUrl&gt;#__managed_style_025CDF27F03F14498DE9_normal&lt;/styleUrl&gt;
		&lt;/Pair&gt;
		&lt;Pair&gt;
			&lt;key&gt;highlight&lt;/key&gt;
			&lt;styleUrl&gt;#__managed_style_025CDF27F03F14498DE9_highlight&lt;/styleUrl&gt;
		&lt;/Pair&gt;
	&lt;/StyleMap&gt;
	&lt;Placemark id="0358478E563F144B3EC4"&gt;
		&lt;name&gt;Marcador de local sem título&lt;/name&gt;
		&lt;LookAt&gt;
			&lt;longitude&gt;-42.81906188114319&lt;/longitude&gt;
			&lt;latitude&gt;-4.983428725220968&lt;/latitude&gt;
			&lt;altitude&gt;122.6273950171183&lt;/altitude&gt;
			&lt;heading&gt;0&lt;/heading&gt;
			&lt;tilt&gt;0&lt;/tilt&gt;
			&lt;gx:fovy&gt;35&lt;/gx:fovy&gt;
			&lt;range&gt;461.1641381989466&lt;/range&gt;
			&lt;altitudeMode&gt;absolute&lt;/altitudeMode&gt;
		&lt;/LookAt&gt;
		&lt;styleUrl&gt;#__managed_style_025CDF27F03F14498DE9&lt;/styleUrl&gt;
		&lt;Point&gt;
			&lt;coordinates&gt;-42.81911568062472,-4.983681073791425,121.7737623167295&lt;/coordinates&gt;
		&lt;/Point&gt;
	&lt;/Placemark&gt;
	&lt;Placemark id="05197C78E53F144D1B27"&gt;
		&lt;name&gt;Marcador de local sem título&lt;/name&gt;
		&lt;LookAt&gt;
			&lt;longitude&gt;-42.81883157779184&lt;/longitude&gt;
			&lt;latitude&gt;-4.983456928810247&lt;/latitude&gt;
			&lt;altitude&gt;124.0649280992188&lt;/altitude&gt;
			&lt;heading&gt;0&lt;/heading&gt;
			&lt;tilt&gt;0&lt;/tilt&gt;
			&lt;gx:fovy&gt;35&lt;/gx:fovy&gt;
			&lt;range&gt;229.0119489860445&lt;/range&gt;
			&lt;altitudeMode&gt;absolute&lt;/altitudeMode&gt;
		&lt;/LookAt&gt;
		&lt;styleUrl&gt;#__managed_style_025CDF27F03F14498DE9&lt;/styleUrl&gt;
		&lt;Point&gt;
			&lt;coordinates&gt;-42.81884343368066,-4.983468370891835,123.9754001910129&lt;/coordinates&gt;
		&lt;/Point&gt;
	&lt;/Placemark&gt;
	&lt;Placemark id="0D4E714D543F144E0054"&gt;
		&lt;name&gt;Caminho sem título&lt;/name&gt;
		&lt;LookAt&gt;
			&lt;longitude&gt;-42.81889472240557&lt;/longitude&gt;
			&lt;latitude&gt;-4.983559244005631&lt;/latitude&gt;
			&lt;altitude&gt;123.5223001510196&lt;/altitude&gt;
			&lt;heading&gt;0&lt;/heading&gt;
			&lt;tilt&gt;0&lt;/tilt&gt;
			&lt;gx:fovy&gt;35&lt;/gx:fovy&gt;
			&lt;range&gt;106.9981126764105&lt;/range&gt;
			&lt;altitudeMode&gt;absolute&lt;/altitudeMode&gt;
		&lt;/LookAt&gt;
		&lt;styleUrl&gt;#__managed_style_025CDF27F03F14498DE9&lt;/styleUrl&gt;
		&lt;LineString&gt;
			&lt;coordinates&gt;
				-42.81911490496912,-4.983675401519499,0 -42.81911490496912,-4.983675401519499,0 -42.81884303362516,-4.983467070806821,0 
			&lt;/coordinates&gt;
		&lt;/LineString&gt;
	&lt;/Placemark&gt;
&lt;/Document&gt;
&lt;/kml&gt;</t>
  </si>
  <si>
    <t>REFORMA E AMPLIAÇÃO DO CENTRO COMUNITÁRIO, COM UMA ÁREA TOTAL DE 347,97 M², NO BAIRRO SANTA MARIA DA CODIPE III, ZONA NORTE DO MUNICÍPIO DE TERESINA-PI. CONT. 63/2024 - TREVO</t>
  </si>
  <si>
    <t>&lt;?xml version="1.0" encoding="UTF-8"?&gt;
&lt;kml xmlns="http://www.opengis.net/kml/2.2" xmlns:gx="http://www.google.com/kml/ext/2.2" xmlns:kml="http://www.opengis.net/kml/2.2" xmlns:atom="http://www.w3.org/2005/Atom"&gt;
&lt;Document&gt;
	&lt;name&gt;CENTRO COMUNITÁRIO BAIRRO SANTA MARIA DA CODIPE III.kmz&lt;/name&gt;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&lt;name&gt;CENTRO COMUNITÁRIO BAIRRO SANTA MARIA DA CODIPE III&lt;/name&gt;
		&lt;LookAt&gt;
			&lt;longitude&gt;-42.82651621143138&lt;/longitude&gt;
			&lt;latitude&gt;-4.998242894505481&lt;/latitude&gt;
			&lt;altitude&gt;0&lt;/altitude&gt;
			&lt;heading&gt;-0.001168036668821569&lt;/heading&gt;
			&lt;tilt&gt;0&lt;/tilt&gt;
			&lt;range&gt;8376.559416797751&lt;/range&gt;
			&lt;gx:altitudeMode&gt;relativeToSeaFloor&lt;/gx:altitudeMode&gt;
		&lt;/LookAt&gt;
		&lt;styleUrl&gt;#m_ylw-pushpin&lt;/styleUrl&gt;
		&lt;Point&gt;
			&lt;gx:drawOrder&gt;1&lt;/gx:drawOrder&gt;
			&lt;coordinates&gt;-42.823959,-4.983308,0&lt;/coordinates&gt;
		&lt;/Point&gt;
		&lt;atom:link rel="app" href="https://www.google.com/earth/about/versions/#earth-pro" title="Google Earth Pro 7.3.6.10441"&gt;&lt;/atom:link&gt;
	&lt;/Placemark&gt;
&lt;/Document&gt;
&lt;/kml&gt;</t>
  </si>
  <si>
    <t>AMPLIAÇÃO DO SISTEMA DE DRENAGEM DE ÁGUAS PLUVIAIS (MIRANTE SANTA MARIA), TERESINA - PIAUÍ</t>
  </si>
  <si>
    <t>&lt;?xml version="1.0" encoding="UTF-8"?&gt;
&lt;kml xmlns="http://www.opengis.net/kml/2.2" xmlns:gx="http://www.google.com/kml/ext/2.2" xmlns:kml="http://www.opengis.net/kml/2.2" xmlns:atom="http://www.w3.org/2005/Atom"&gt;
&lt;Document&gt;
	&lt;name&gt;Drenagem Santa Maria.kmz&lt;/name&gt;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&lt;LineStyle&gt;
			&lt;color&gt;ff0000ff&lt;/color&gt;
			&lt;width&gt;7&lt;/width&gt;
		&lt;/LineStyle&gt;
	&lt;/Style&gt;
	&lt;Style id="s_ylw-pushpin_hl"&gt;
		&lt;IconStyle&gt;
			&lt;scale&gt;1.3&lt;/scale&gt;
			&lt;Icon&gt;
				&lt;href&gt;http://maps.google.com/mapfiles/kml/pushpin/ylw-pushpin.png&lt;/href&gt;
			&lt;/Icon&gt;
			&lt;hotSpot x="20" y="2" xunits="pixels" yunits="pixels"/&gt;
		&lt;/IconStyle&gt;
		&lt;LineStyle&gt;
			&lt;color&gt;ff0000ff&lt;/color&gt;
			&lt;width&gt;7&lt;/width&gt;
		&lt;/LineStyle&gt;
	&lt;/Style&gt;
	&lt;Placemark&gt;
		&lt;name&gt;Caminho sem título&lt;/name&gt;
		&lt;styleUrl&gt;#m_ylw-pushpin&lt;/styleUrl&gt;
		&lt;LineString&gt;
			&lt;tessellate&gt;1&lt;/tessellate&gt;
			&lt;coordinates&gt;
				-42.81862237049474,-4.983349606764882,0 -42.81862973613627,-4.983329982313765,0 -42.81862957328352,-4.983350432681434,0 -42.81863262940234,-4.983350939454886,0 -42.81863684379713,-4.983350174576087,0 -42.81863883065177,-4.983350870674449,0 -42.81864186134629,-4.983351374634325,0 -42.81864571346988,-4.983353839569875,0 -42.81865397690083,-4.983358125701776,0 -42.81865697936077,-4.983358619072359,0 -42.81866034649808,-4.983360631881379,0 -42.81866426977913,-4.983362003817161,0 -42.81866678451317,-4.983362050233123,0 -42.81866865067664,-4.983363813523678,0 -42.81867217480485,-4.983363659461668,0 -42.81867458831692,-4.983364781039701,0 -42.81867762708556,-4.983364186566432,0 -42.81868390421954,-4.983366661754153,0 -42.81868776795927,-4.983368015377211,0 -42.818690231639,-4.98336805373061,0 -42.81869215638586,-4.983368728506507,0 -42.81869652854675,-4.983369438943163,0 -42.81869937062166,-4.98337098375856,0 -42.81870180922516,-4.983371018109622,0 -42.81870418160943,-4.98337212392127,0 -42.81870701366003,-4.983373663965132,0 -42.81871036047487,-4.983374564517579,0 -42.81871416084245,-4.983375897506921,0 -42.81872076723718,-4.983378759083743,0 -42.81872546697706,-4.983380950745704,0 -42.81873203816513,-4.983383796818385,0 -42.81874082469204,-4.983390951989535,0 -42.81874549234922,-4.983393125850868,0 -42.81874879568578,-4.983392918818575,0 -42.81875162722312,-4.983392281183646,0 -42.81875490602597,-4.98339207655942,0 -42.81875817231943,-4.983391872728909,0 -42.81876188312993,-4.983392098597139,0 -42.81876556698003,-4.983393391268085,0 -42.81877016520197,-4.983394469201361,0 -42.81877199823746,-4.983395112747095,0 -42.81877474727934,-4.983395543362849,0 -42.81877748534125,-4.98339703910685,0 -42.8187811316286,-4.983399387279812,0 -42.81878431920395,-4.983400238408944,0 -42.81878886359991,-4.983402365898682,0 -42.81879113237098,-4.983403428053423,0 -42.81879475433765,-4.983404697825661,0 -42.8187997184618,-4.9834061723361,0 -42.81880198805126,-4.983408297611353,0 -42.81880558881976,-4.983409558803017,0 -42.81880872836673,-4.983410392936003,0 -42.81881144907424,-4.983412939404214,0 -42.81881505568828,-4.98341526419641,0 -42.81881999378037,-4.983417787297528,0 -42.81882316848615,-4.983420757746773,0 -42.81882851605213,-4.983422622560345,0 -42.81883161854753,-4.983423438895616,0 -42.81883558070069,-4.98342402577726,0 -42.81883825442886,-4.983425488583207,0 -42.81884223902453,-4.983427143305591,0 -42.81884662070205,-4.98342814322334,0 -42.81885008600551,-4.983428298209176,0 -42.81885313958141,-4.983429101636442,0 -42.81885528659249,-4.983429063565095,0 -42.81885962021349,-4.983430054381441,0 -42.818861809885,-4.983431082175377,0 -42.81886522582403,-4.983431230789933,0 -42.81886997304326,-4.983432631571015,0 -42.81887589546516,-4.983433206124527,0 -42.8188789459963,-4.983435089631378,0 -42.81888630364598,-4.983439049483833,0 -42.81889134074546,-4.983439833505535,0 -42.81889385091703,-4.98344022414939,0 -42.81889679947236,-4.983441032974057,0 -42.81889929822054,-4.983441421496648,0 -42.81890179145169,-4.983441809138256,0 -42.81890295074381,-4.983440943191467,0 -42.8189075582016,-4.983442357629146,0 -42.81891003265908,-4.983442742766603,0 -42.81891294323659,-4.983443543138694,0 -42.81891610091445,-4.983442647699017,0 -42.81891889929239,-4.98344239318256,0 -42.8189221274698,-4.983442553223951,0 -42.81892656100437,-4.983442903320793,0 -42.81892855121599,-4.983442871692117,0 -42.81893174680255,-4.983443030133532,0 -42.81893602965459,-4.983442335399506,0 -42.81893876189292,-4.983442084400218,0 -42.81894332807762,-4.983440768626419,0 -42.81894872933928,-4.983440275371975,0 -42.81895173244276,-4.983439407522572,0 -42.81895546647486,-4.983438328427781,0 -42.8189581275752,-4.983438087704551,0 -42.81895991853523,-4.983437041889775,0 -42.81896274603955,-4.98343517329013,0 -42.81896568127394,-4.98343432745263,0 -42.81896963139702,-4.983432666974324,0 -42.81897427932308,-4.983430782964677,0 -42.81897758822751,-4.983430313449652,0 -42.81897974169008,-4.983429666199952,0 -42.8189830243408,-4.983429201230766,0 -42.81898644252387,-4.9834271322914,0 -42.81898785749138,-4.983426707619653,0 -42.81899292299783,-4.983426221670343,0 -42.81899781149315,-4.983424750219662,0 -42.81900293223809,-4.983422695792849,0 -42.81900582958517,-4.983422848939024,0 -42.8190085688703,-4.983422023204356,0 -42.81900925169849,-4.983421817456259,0 -42.81901167475601,-4.983419050755806,0 -42.81901505759785,-4.983418036931424,0 -42.81901733750404,-4.983416848063769,0 -42.81901934925538,-4.983416245986049,0 -42.81902294139508,-4.983414668183118,0 -42.81902691797485,-4.98341347988816,0 -42.8190298027183,-4.983412118415819,0 -42.81903422123479,-4.983409806176373,0 -42.81903746901394,-4.983408839815247,0 -42.81903940893058,-4.983408262579908,0 -42.81904390996863,-4.983406923344741,0 -42.81904606339943,-4.983405791528376,0 -42.81904710350545,-4.983405973158556,0 -42.81904901099858,-4.983405405585501,0 -42.81905211677338,-4.983405949550805,0 -42.81905504030928,-4.983405564749257,0 -42.81905709808184,-4.98340592609153,0 -42.81905937681159,-4.983405730409402,0 -42.81906510925334,-4.983406441734938,0 -42.81906776297774,-4.983406612462684,0 -42.8190714210319,-4.983406961327633,0 -42.81907527753644,-4.983406756925326,0 -42.81907869204627,-4.983407654716193,0 -42.81908090814446,-4.983407458602941,0 -42.81908451097423,-4.983407802909976,0 -42.81908729488916,-4.983408881156315,0 -42.81908948726035,-4.983408683971515,0 -42.81909147087843,-4.983409035137448,0 -42.81909364413006,-4.983410295346237,0 -42.81909522681767,-4.98341028320779,0 -42.81938354680772,-4.983495923604374,0 
			&lt;/coordinates&gt;
		&lt;/LineString&gt;
		&lt;atom:link rel="app" href="https://www.google.com/earth/about/versions/#earth-pro" title="Google Earth Pro 7.3.6.10201"&gt;&lt;/atom:link&gt;
	&lt;/Placemark&gt;
&lt;/Document&gt;
&lt;/kml&gt;</t>
  </si>
  <si>
    <t>OPA ID 399 - CONTRATAÇÃO DE EMPRESA DE ENGENHARIA PARA CONSTRUÇÃO DO POLO ARTESANAL SANTA MARIA, TERESINA – PI - (OPA 2023 - 2024)</t>
  </si>
  <si>
    <t>OPA - ID - 410 - CONSTRUÇÃO DE VIDEOTECA NO BAIRRO SANTA MARIA DA CODIPI (2023-2024)</t>
  </si>
  <si>
    <t>PAVIMENTAÇÃO EM PARALELEPÍPEDO DE 3.390,00 M² EM TERESINA NO POVOADO SANTA TERESA</t>
  </si>
  <si>
    <t>SANTA TERESA</t>
  </si>
  <si>
    <t>PAVIMENTAÇÃO EM PARALELEPÍPEDO (COMUNIDADE SANTA TEREZA) TERESINA - PIAUÍ</t>
  </si>
  <si>
    <t>SANTA TEREZA</t>
  </si>
  <si>
    <t>PAVIMENTAÇÃO EM PARALELEPÍPEDO DE VIAS NO MUNICÍPIO DE TERESINA-PI, ÁREA 2.771,68M²</t>
  </si>
  <si>
    <t>PAVIMENTAÇÃO EM PARALELEPÍPEDO DE 3.792,00M² DE RUAS NO MUNICÍPIO DE TERESINA- PI</t>
  </si>
  <si>
    <t>SANTANA,SANTO ANTÔNIO</t>
  </si>
  <si>
    <t>SUDESTE,SUL</t>
  </si>
  <si>
    <t>&lt;?xml version="1.0" encoding="UTF-8"?&gt;
&lt;kml xmlns="http://www.opengis.net/kml/2.2" xmlns:gx="http://www.google.com/kml/ext/2.2" xmlns:kml="http://www.opengis.net/kml/2.2" xmlns:atom="http://www.w3.org/2005/Atom"&gt;
&lt;Document&gt;
	&lt;name&gt;TERESINA - CAP..kmz&lt;/name&gt;
	&lt;StyleMap id="m_ylw-pushpin"&gt;
		&lt;Pair&gt;
			&lt;key&gt;normal&lt;/key&gt;
			&lt;styleUrl&gt;#s_ylw-pushpin&lt;/styleUrl&gt;
		&lt;/Pair&gt;
		&lt;Pair&gt;
			&lt;key&gt;highlight&lt;/key&gt;
			&lt;styleUrl&gt;#s_ylw-pushpin_hl0&lt;/styleUrl&gt;
		&lt;/Pair&gt;
	&lt;/StyleMap&gt;
	&lt;StyleMap id="m_ylw-pushpin0"&gt;
		&lt;Pair&gt;
			&lt;key&gt;normal&lt;/key&gt;
			&lt;styleUrl&gt;#s_ylw-pushpin7&lt;/styleUrl&gt;
		&lt;/Pair&gt;
		&lt;Pair&gt;
			&lt;key&gt;highlight&lt;/key&gt;
			&lt;styleUrl&gt;#s_ylw-pushpin_hl&lt;/styleUrl&gt;
		&lt;/Pair&gt;
	&lt;/StyleMap&gt;
	&lt;StyleMap id="msn_ylw-pushpin0"&gt;
		&lt;Pair&gt;
			&lt;key&gt;normal&lt;/key&gt;
			&lt;styleUrl&gt;#sn_ylw-pushpin0&lt;/styleUrl&gt;
		&lt;/Pair&gt;
		&lt;Pair&gt;
			&lt;key&gt;highlight&lt;/key&gt;
			&lt;styleUrl&gt;#sh_ylw-pushpin6&lt;/styleUrl&gt;
		&lt;/Pair&gt;
	&lt;/StyleMap&gt;
	&lt;StyleMap id="msn_ylw-pushpin2"&gt;
		&lt;Pair&gt;
			&lt;key&gt;normal&lt;/key&gt;
			&lt;styleUrl&gt;#sn_ylw-pushpin6&lt;/styleUrl&gt;
		&lt;/Pair&gt;
		&lt;Pair&gt;
			&lt;key&gt;highlight&lt;/key&gt;
			&lt;styleUrl&gt;#sh_ylw-pushpin3&lt;/styleUrl&gt;
		&lt;/Pair&gt;
	&lt;/StyleMap&gt;
	&lt;StyleMap id="msn_ylw-pushpin3"&gt;
		&lt;Pair&gt;
			&lt;key&gt;normal&lt;/key&gt;
			&lt;styleUrl&gt;#sn_ylw-pushpin1&lt;/styleUrl&gt;
		&lt;/Pair&gt;
		&lt;Pair&gt;
			&lt;key&gt;highlight&lt;/key&gt;
			&lt;styleUrl&gt;#sh_ylw-pushpin1&lt;/styleUrl&gt;
		&lt;/Pair&gt;
	&lt;/StyleMap&gt;
	&lt;StyleMap id="msn_ylw-pushpin4"&gt;
		&lt;Pair&gt;
			&lt;key&gt;normal&lt;/key&gt;
			&lt;styleUrl&gt;#sn_ylw-pushpin&lt;/styleUrl&gt;
		&lt;/Pair&gt;
		&lt;Pair&gt;
			&lt;key&gt;highlight&lt;/key&gt;
			&lt;styleUrl&gt;#sh_ylw-pushpin&lt;/styleUrl&gt;
		&lt;/Pair&gt;
	&lt;/StyleMap&gt;
	&lt;StyleMap id="msn_ylw-pushpin6"&gt;
		&lt;Pair&gt;
			&lt;key&gt;normal&lt;/key&gt;
			&lt;styleUrl&gt;#sn_ylw-pushpin7&lt;/styleUrl&gt;
		&lt;/Pair&gt;
		&lt;Pair&gt;
			&lt;key&gt;highlight&lt;/key&gt;
			&lt;styleUrl&gt;#sh_ylw-pushpin0&lt;/styleUrl&gt;
		&lt;/Pair&gt;
	&lt;/StyleMap&gt;
	&lt;StyleMap id="msn_ylw-pushpin8"&gt;
		&lt;Pair&gt;
			&lt;key&gt;normal&lt;/key&gt;
			&lt;styleUrl&gt;#sn_ylw-pushpin4&lt;/styleUrl&gt;
		&lt;/Pair&gt;
		&lt;Pair&gt;
			&lt;key&gt;highlight&lt;/key&gt;
			&lt;styleUrl&gt;#sh_ylw-pushpin5&lt;/styleUrl&gt;
		&lt;/Pair&gt;
	&lt;/StyleMap&gt;
	&lt;StyleMap id="msn_ylw-pushpin9"&gt;
		&lt;Pair&gt;
			&lt;key&gt;normal&lt;/key&gt;
			&lt;styleUrl&gt;#sn_ylw-pushpin8&lt;/styleUrl&gt;
		&lt;/Pair&gt;
		&lt;Pair&gt;
			&lt;key&gt;highlight&lt;/key&gt;
			&lt;styleUrl&gt;#sh_ylw-pushpin8&lt;/styleUrl&gt;
		&lt;/Pair&gt;
	&lt;/StyleMap&gt;
	&lt;Style id="s_ylw-pushpin"&gt;
		&lt;IconStyle&gt;
			&lt;scale&gt;1.1&lt;/scale&gt;
			&lt;Icon&gt;
				&lt;href&gt;http://maps.google.com/mapfiles/kml/pushpin/ylw-pushpin.png&lt;/href&gt;
			&lt;/Icon&gt;
			&lt;hotSpot x="20" y="2" xunits="pixels" yunits="pixels"/&gt;
		&lt;/IconStyle&gt;
	&lt;/Style&gt;
	&lt;Style id="s_ylw-pushpin7"&gt;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&lt;Style id="s_ylw-pushpin_hl0"&gt;
		&lt;IconStyle&gt;
			&lt;scale&gt;1.3&lt;/scale&gt;
			&lt;Icon&gt;
				&lt;href&gt;http://maps.google.com/mapfiles/kml/pushpin/ylw-pushpin.png&lt;/href&gt;
			&lt;/Icon&gt;
			&lt;hotSpot x="20" y="2" xunits="pixels" yunits="pixels"/&gt;
		&lt;/IconStyle&gt;
	&lt;/Style&gt;
	&lt;Style id="sh_ylw-pushpin"&gt;
		&lt;IconStyle&gt;
			&lt;scale&gt;1.3&lt;/scale&gt;
			&lt;Icon&gt;
				&lt;href&gt;http://maps.google.com/mapfiles/kml/pushpin/ylw-pushpin.png&lt;/href&gt;
			&lt;/Icon&gt;
			&lt;hotSpot x="20" y="2" xunits="pixels" yunits="pixels"/&gt;
		&lt;/IconStyle&gt;
		&lt;LineStyle&gt;
			&lt;color&gt;ff00ffaa&lt;/color&gt;
			&lt;width&gt;5&lt;/width&gt;
		&lt;/LineStyle&gt;
	&lt;/Style&gt;
	&lt;Style id="sh_ylw-pushpin0"&gt;
		&lt;IconStyle&gt;
			&lt;scale&gt;1.3&lt;/scale&gt;
			&lt;Icon&gt;
				&lt;href&gt;http://maps.google.com/mapfiles/kml/pushpin/ylw-pushpin.png&lt;/href&gt;
			&lt;/Icon&gt;
			&lt;hotSpot x="20" y="2" xunits="pixels" yunits="pixels"/&gt;
		&lt;/IconStyle&gt;
		&lt;LineStyle&gt;
			&lt;color&gt;ff7fffff&lt;/color&gt;
			&lt;width&gt;5&lt;/width&gt;
		&lt;/LineStyle&gt;
	&lt;/Style&gt;
	&lt;Style id="sh_ylw-pushpin1"&gt;
		&lt;IconStyle&gt;
			&lt;scale&gt;1.3&lt;/scale&gt;
			&lt;Icon&gt;
				&lt;href&gt;http://maps.google.com/mapfiles/kml/pushpin/ylw-pushpin.png&lt;/href&gt;
			&lt;/Icon&gt;
			&lt;hotSpot x="20" y="2" xunits="pixels" yunits="pixels"/&gt;
		&lt;/IconStyle&gt;
		&lt;LineStyle&gt;
			&lt;color&gt;ff7f5500&lt;/color&gt;
			&lt;width&gt;5&lt;/width&gt;
		&lt;/LineStyle&gt;
	&lt;/Style&gt;
	&lt;Style id="sh_ylw-pushpin3"&gt;
		&lt;IconStyle&gt;
			&lt;scale&gt;1.3&lt;/scale&gt;
			&lt;Icon&gt;
				&lt;href&gt;http://maps.google.com/mapfiles/kml/pushpin/ylw-pushpin.png&lt;/href&gt;
			&lt;/Icon&gt;
			&lt;hotSpot x="20" y="2" xunits="pixels" yunits="pixels"/&gt;
		&lt;/IconStyle&gt;
		&lt;LineStyle&gt;
			&lt;color&gt;ff0000aa&lt;/color&gt;
			&lt;width&gt;5&lt;/width&gt;
		&lt;/LineStyle&gt;
	&lt;/Style&gt;
	&lt;Style id="sh_ylw-pushpin5"&gt;
		&lt;IconStyle&gt;
			&lt;scale&gt;1.3&lt;/scale&gt;
			&lt;Icon&gt;
				&lt;href&gt;http://maps.google.com/mapfiles/kml/pushpin/ylw-pushpin.png&lt;/href&gt;
			&lt;/Icon&gt;
			&lt;hotSpot x="20" y="2" xunits="pixels" yunits="pixels"/&gt;
		&lt;/IconStyle&gt;
		&lt;LineStyle&gt;
			&lt;color&gt;ff005500&lt;/color&gt;
			&lt;width&gt;5&lt;/width&gt;
		&lt;/LineStyle&gt;
	&lt;/Style&gt;
	&lt;Style id="sh_ylw-pushpin6"&gt;
		&lt;IconStyle&gt;
			&lt;scale&gt;1.3&lt;/scale&gt;
			&lt;Icon&gt;
				&lt;href&gt;http://maps.google.com/mapfiles/kml/pushpin/ylw-pushpin.png&lt;/href&gt;
			&lt;/Icon&gt;
			&lt;hotSpot x="20" y="2" xunits="pixels" yunits="pixels"/&gt;
		&lt;/IconStyle&gt;
		&lt;LineStyle&gt;
			&lt;width&gt;5&lt;/width&gt;
		&lt;/LineStyle&gt;
	&lt;/Style&gt;
	&lt;Style id="sh_ylw-pushpin8"&gt;
		&lt;IconStyle&gt;
			&lt;scale&gt;1.3&lt;/scale&gt;
			&lt;Icon&gt;
				&lt;href&gt;http://maps.google.com/mapfiles/kml/pushpin/ylw-pushpin.png&lt;/href&gt;
			&lt;/Icon&gt;
			&lt;hotSpot x="20" y="2" xunits="pixels" yunits="pixels"/&gt;
		&lt;/IconStyle&gt;
		&lt;LineStyle&gt;
			&lt;color&gt;ff00aa00&lt;/color&gt;
			&lt;width&gt;5&lt;/width&gt;
		&lt;/LineStyle&gt;
	&lt;/Style&gt;
	&lt;Style id="sn_ylw-pushpin"&gt;
		&lt;IconStyle&gt;
			&lt;scale&gt;1.1&lt;/scale&gt;
			&lt;Icon&gt;
				&lt;href&gt;http://maps.google.com/mapfiles/kml/pushpin/ylw-pushpin.png&lt;/href&gt;
			&lt;/Icon&gt;
			&lt;hotSpot x="20" y="2" xunits="pixels" yunits="pixels"/&gt;
		&lt;/IconStyle&gt;
		&lt;LineStyle&gt;
			&lt;color&gt;ff00ffaa&lt;/color&gt;
			&lt;width&gt;5&lt;/width&gt;
		&lt;/LineStyle&gt;
	&lt;/Style&gt;
	&lt;Style id="sn_ylw-pushpin0"&gt;
		&lt;IconStyle&gt;
			&lt;scale&gt;1.1&lt;/scale&gt;
			&lt;Icon&gt;
				&lt;href&gt;http://maps.google.com/mapfiles/kml/pushpin/ylw-pushpin.png&lt;/href&gt;
			&lt;/Icon&gt;
			&lt;hotSpot x="20" y="2" xunits="pixels" yunits="pixels"/&gt;
		&lt;/IconStyle&gt;
		&lt;LineStyle&gt;
			&lt;width&gt;5&lt;/width&gt;
		&lt;/LineStyle&gt;
	&lt;/Style&gt;
	&lt;Style id="sn_ylw-pushpin1"&gt;
		&lt;IconStyle&gt;
			&lt;scale&gt;1.1&lt;/scale&gt;
			&lt;Icon&gt;
				&lt;href&gt;http://maps.google.com/mapfiles/kml/pushpin/ylw-pushpin.png&lt;/href&gt;
			&lt;/Icon&gt;
			&lt;hotSpot x="20" y="2" xunits="pixels" yunits="pixels"/&gt;
		&lt;/IconStyle&gt;
		&lt;LineStyle&gt;
			&lt;color&gt;ff7f5500&lt;/color&gt;
			&lt;width&gt;5&lt;/width&gt;
		&lt;/LineStyle&gt;
	&lt;/Style&gt;
	&lt;Style id="sn_ylw-pushpin4"&gt;
		&lt;IconStyle&gt;
			&lt;scale&gt;1.1&lt;/scale&gt;
			&lt;Icon&gt;
				&lt;href&gt;http://maps.google.com/mapfiles/kml/pushpin/ylw-pushpin.png&lt;/href&gt;
			&lt;/Icon&gt;
			&lt;hotSpot x="20" y="2" xunits="pixels" yunits="pixels"/&gt;
		&lt;/IconStyle&gt;
		&lt;LineStyle&gt;
			&lt;color&gt;ff005500&lt;/color&gt;
			&lt;width&gt;5&lt;/width&gt;
		&lt;/LineStyle&gt;
	&lt;/Style&gt;
	&lt;Style id="sn_ylw-pushpin6"&gt;
		&lt;IconStyle&gt;
			&lt;scale&gt;1.1&lt;/scale&gt;
			&lt;Icon&gt;
				&lt;href&gt;http://maps.google.com/mapfiles/kml/pushpin/ylw-pushpin.png&lt;/href&gt;
			&lt;/Icon&gt;
			&lt;hotSpot x="20" y="2" xunits="pixels" yunits="pixels"/&gt;
		&lt;/IconStyle&gt;
		&lt;LineStyle&gt;
			&lt;color&gt;ff0000aa&lt;/color&gt;
			&lt;width&gt;5&lt;/width&gt;
		&lt;/LineStyle&gt;
	&lt;/Style&gt;
	&lt;Style id="sn_ylw-pushpin7"&gt;
		&lt;IconStyle&gt;
			&lt;scale&gt;1.1&lt;/scale&gt;
			&lt;Icon&gt;
				&lt;href&gt;http://maps.google.com/mapfiles/kml/pushpin/ylw-pushpin.png&lt;/href&gt;
			&lt;/Icon&gt;
			&lt;hotSpot x="20" y="2" xunits="pixels" yunits="pixels"/&gt;
		&lt;/IconStyle&gt;
		&lt;LineStyle&gt;
			&lt;color&gt;ff7fffff&lt;/color&gt;
			&lt;width&gt;5&lt;/width&gt;
		&lt;/LineStyle&gt;
	&lt;/Style&gt;
	&lt;Style id="sn_ylw-pushpin8"&gt;
		&lt;IconStyle&gt;
			&lt;scale&gt;1.1&lt;/scale&gt;
			&lt;Icon&gt;
				&lt;href&gt;http://maps.google.com/mapfiles/kml/pushpin/ylw-pushpin.png&lt;/href&gt;
			&lt;/Icon&gt;
			&lt;hotSpot x="20" y="2" xunits="pixels" yunits="pixels"/&gt;
		&lt;/IconStyle&gt;
		&lt;LineStyle&gt;
			&lt;color&gt;ff00aa00&lt;/color&gt;
			&lt;width&gt;5&lt;/width&gt;
		&lt;/LineStyle&gt;
	&lt;/Style&gt;
	&lt;Folder&gt;
		&lt;name&gt;TERESINA - CAP.&lt;/name&gt;
		&lt;open&gt;1&lt;/open&gt;
		&lt;Placemark&gt;
			&lt;name&gt;P-5.156401 -42.780272&lt;/name&gt;
			&lt;LookAt&gt;
				&lt;gx:TimeStamp&gt;&lt;when&gt;2024-09-25T17:25:22Z&lt;/when&gt;
&lt;/gx:TimeStamp&gt;
				&lt;longitude&gt;-42.78027199530583&lt;/longitude&gt;
				&lt;latitude&gt;-5.156400994699228&lt;/latitude&gt;
				&lt;altitude&gt;0&lt;/altitude&gt;
				&lt;heading&gt;-4.218926271094316e-10&lt;/heading&gt;
				&lt;tilt&gt;0&lt;/tilt&gt;
				&lt;range&gt;1003.079392408601&lt;/range&gt;
				&lt;gx:altitudeMode&gt;relativeToSeaFloor&lt;/gx:altitudeMode&gt;
			&lt;/LookAt&gt;
			&lt;styleUrl&gt;#m_ylw-pushpin0&lt;/styleUrl&gt;
			&lt;Point&gt;
				&lt;gx:drawOrder&gt;1&lt;/gx:drawOrder&gt;
				&lt;coordinates&gt;-42.78027199530583,-5.156400994699228,0&lt;/coordinates&gt;
			&lt;/Point&gt;
		&lt;/Placemark&gt;
		&lt;Placemark&gt;
			&lt;name&gt;P-5.156260 -42.779110&lt;/name&gt;
			&lt;LookAt&gt;
				&lt;gx:TimeStamp&gt;&lt;when&gt;2024-09-25T17:25:22Z&lt;/when&gt;
&lt;/gx:TimeStamp&gt;
				&lt;longitude&gt;-42.7794067077411&lt;/longitude&gt;
				&lt;latitude&gt;-5.156505412214938&lt;/latitude&gt;
				&lt;altitude&gt;0&lt;/altitude&gt;
				&lt;heading&gt;-2.510304188139714e-05&lt;/heading&gt;
				&lt;tilt&gt;0&lt;/tilt&gt;
				&lt;range&gt;375.8017458198934&lt;/range&gt;
				&lt;gx:altitudeMode&gt;relativeToSeaFloor&lt;/gx:altitudeMode&gt;
			&lt;/LookAt&gt;
			&lt;styleUrl&gt;#m_ylw-pushpin&lt;/styleUrl&gt;
			&lt;Point&gt;
				&lt;gx:drawOrder&gt;1&lt;/gx:drawOrder&gt;
				&lt;coordinates&gt;-42.77910109584672,-5.156289111245925,0&lt;/coordinates&gt;
			&lt;/Point&gt;
		&lt;/Placemark&gt;
		&lt;Placemark&gt;
			&lt;name&gt;RUA SANTO ANTONIO&lt;/name&gt;
			&lt;styleUrl&gt;#msn_ylw-pushpin2&lt;/styleUrl&gt;
			&lt;LineString&gt;
				&lt;tessellate&gt;1&lt;/tessellate&gt;
				&lt;coordinates&gt;
					-42.78027137560179,-5.156407268178809,0 -42.7796137308416,-5.156360338306181,0 -42.7790989228963,-5.156279311079947,0 
				&lt;/coordinates&gt;
			&lt;/LineString&gt;
		&lt;/Placemark&gt;
		&lt;Placemark&gt;
			&lt;name&gt;P-5.156391 -42.779778&lt;/name&gt;
			&lt;LookAt&gt;
				&lt;gx:TimeStamp&gt;&lt;when&gt;2024-09-25T17:25:22Z&lt;/when&gt;
&lt;/gx:TimeStamp&gt;
				&lt;longitude&gt;-42.77957965538707&lt;/longitude&gt;
				&lt;latitude&gt;-5.156528900923554&lt;/latitude&gt;
				&lt;altitude&gt;0&lt;/altitude&gt;
				&lt;heading&gt;-9.559175086741335e-06&lt;/heading&gt;
				&lt;tilt&gt;0&lt;/tilt&gt;
				&lt;range&gt;376.3940618689691&lt;/range&gt;
				&lt;gx:altitudeMode&gt;relativeToSeaFloor&lt;/gx:altitudeMode&gt;
			&lt;/LookAt&gt;
			&lt;styleUrl&gt;#m_ylw-pushpin&lt;/styleUrl&gt;
			&lt;Point&gt;
				&lt;gx:drawOrder&gt;1&lt;/gx:drawOrder&gt;
				&lt;coordinates&gt;-42.77972207921535,-5.156398765438042,0&lt;/coordinates&gt;
			&lt;/Point&gt;
		&lt;/Placemark&gt;
		&lt;Placemark&gt;
			&lt;name&gt;P-5.156778 -42.779686&lt;/name&gt;
			&lt;LookAt&gt;
				&lt;gx:TimeStamp&gt;&lt;when&gt;2024-09-25T17:25:22Z&lt;/when&gt;
&lt;/gx:TimeStamp&gt;
				&lt;longitude&gt;-42.77968599952924&lt;/longitude&gt;
				&lt;latitude&gt;-5.156777999867508&lt;/latitude&gt;
				&lt;altitude&gt;0&lt;/altitude&gt;
				&lt;heading&gt;-4.233477308762013e-11&lt;/heading&gt;
				&lt;tilt&gt;0&lt;/tilt&gt;
				&lt;range&gt;1000.000152346994&lt;/range&gt;
				&lt;gx:altitudeMode&gt;relativeToSeaFloor&lt;/gx:altitudeMode&gt;
			&lt;/LookAt&gt;
			&lt;styleUrl&gt;#m_ylw-pushpin&lt;/styleUrl&gt;
			&lt;Point&gt;
				&lt;gx:drawOrder&gt;1&lt;/gx:drawOrder&gt;
				&lt;coordinates&gt;-42.77968599952924,-5.156777999867507,0&lt;/coordinates&gt;
			&lt;/Point&gt;
		&lt;/Placemark&gt;
		&lt;Placemark&gt;
			&lt;name&gt;RUA TENENTE JESUS&lt;/name&gt;
			&lt;styleUrl&gt;#msn_ylw-pushpin3&lt;/styleUrl&gt;
			&lt;LineString&gt;
				&lt;tessellate&gt;1&lt;/tessellate&gt;
				&lt;coordinates&gt;
					-42.77966409915291,-5.156779290638552,0 -42.77971533350405,-5.156404000922608,0 
				&lt;/coordinates&gt;
			&lt;/LineString&gt;
		&lt;/Placemark&gt;
		&lt;Placemark&gt;
			&lt;name&gt;P-5.152760 -42.778572&lt;/name&gt;
			&lt;LookAt&gt;
				&lt;gx:TimeStamp&gt;&lt;when&gt;2024-09-25T17:25:22Z&lt;/when&gt;
&lt;/gx:TimeStamp&gt;
				&lt;longitude&gt;-42.77865363507289&lt;/longitude&gt;
				&lt;latitude&gt;-5.152589149468823&lt;/latitude&gt;
				&lt;altitude&gt;0&lt;/altitude&gt;
				&lt;heading&gt;-3.568542290017474e-05&lt;/heading&gt;
				&lt;tilt&gt;0&lt;/tilt&gt;
				&lt;range&gt;197.9531027339771&lt;/range&gt;
				&lt;gx:altitudeMode&gt;relativeToSeaFloor&lt;/gx:altitudeMode&gt;
			&lt;/LookAt&gt;
			&lt;styleUrl&gt;#m_ylw-pushpin&lt;/styleUrl&gt;
			&lt;Point&gt;
				&lt;gx:drawOrder&gt;1&lt;/gx:drawOrder&gt;
				&lt;coordinates&gt;-42.77868467640438,-5.152716248629893,0&lt;/coordinates&gt;
			&lt;/Point&gt;
		&lt;/Placemark&gt;
		&lt;Placemark&gt;
			&lt;name&gt;P-5.152398 -42.779051&lt;/name&gt;
			&lt;LookAt&gt;
				&lt;gx:TimeStamp&gt;&lt;when&gt;2024-09-25T17:25:22Z&lt;/when&gt;
&lt;/gx:TimeStamp&gt;
				&lt;longitude&gt;-42.77865363507289&lt;/longitude&gt;
				&lt;latitude&gt;-5.152589149468823&lt;/latitude&gt;
				&lt;altitude&gt;0&lt;/altitude&gt;
				&lt;heading&gt;-3.568542290017474e-05&lt;/heading&gt;
				&lt;tilt&gt;0&lt;/tilt&gt;
				&lt;range&gt;197.9531027339771&lt;/range&gt;
				&lt;gx:altitudeMode&gt;relativeToSeaFloor&lt;/gx:altitudeMode&gt;
			&lt;/LookAt&gt;
			&lt;styleUrl&gt;#m_ylw-pushpin&lt;/styleUrl&gt;
			&lt;Point&gt;
				&lt;gx:drawOrder&gt;1&lt;/gx:drawOrder&gt;
				&lt;coordinates&gt;-42.77906357924284,-5.152413773299025,0&lt;/coordinates&gt;
			&lt;/Point&gt;
		&lt;/Placemark&gt;
		&lt;Placemark&gt;
			&lt;name&gt;RUA JOÃO CORDEIRO&lt;/name&gt;
			&lt;styleUrl&gt;#msn_ylw-pushpin8&lt;/styleUrl&gt;
			&lt;LineString&gt;
				&lt;tessellate&gt;1&lt;/tessellate&gt;
				&lt;coordinates&gt;
					-42.77906634456759,-5.152420712878038,0 -42.7788782510446,-5.152516874471936,0 -42.77868330164976,-5.152720392009108,0 
				&lt;/coordinates&gt;
			&lt;/LineString&gt;
		&lt;/Placemark&gt;
		&lt;Placemark&gt;
			&lt;name&gt;P-5.151526 -42.777336&lt;/name&gt;
			&lt;LookAt&gt;
				&lt;gx:TimeStamp&gt;&lt;when&gt;2024-09-25T17:25:22Z&lt;/when&gt;
&lt;/gx:TimeStamp&gt;
				&lt;longitude&gt;-42.7773855772055&lt;/longitude&gt;
				&lt;latitude&gt;-5.151334806820129&lt;/latitude&gt;
				&lt;altitude&gt;0&lt;/altitude&gt;
				&lt;heading&gt;-3.980466991883807e-06&lt;/heading&gt;
				&lt;tilt&gt;0&lt;/tilt&gt;
				&lt;range&gt;168.7489527653902&lt;/range&gt;
				&lt;gx:altitudeMode&gt;relativeToSeaFloor&lt;/gx:altitudeMode&gt;
			&lt;/LookAt&gt;
			&lt;styleUrl&gt;#m_ylw-pushpin&lt;/styleUrl&gt;
			&lt;Point&gt;
				&lt;gx:drawOrder&gt;1&lt;/gx:drawOrder&gt;
				&lt;coordinates&gt;-42.77731586994987,-5.15156058637031,0&lt;/coordinates&gt;
			&lt;/Point&gt;
		&lt;/Placemark&gt;
		&lt;Placemark&gt;
			&lt;name&gt;P-5.151424 -42.777434&lt;/name&gt;
			&lt;LookAt&gt;
				&lt;gx:TimeStamp&gt;&lt;when&gt;2024-09-25T17:25:22Z&lt;/when&gt;
&lt;/gx:TimeStamp&gt;
				&lt;longitude&gt;-42.77743396454066&lt;/longitude&gt;
				&lt;latitude&gt;-5.151424037816025&lt;/latitude&gt;
				&lt;altitude&gt;0&lt;/altitude&gt;
				&lt;heading&gt;2.174942805051789e-11&lt;/heading&gt;
				&lt;tilt&gt;0&lt;/tilt&gt;
				&lt;range&gt;1000.000098595846&lt;/range&gt;
				&lt;gx:altitudeMode&gt;relativeToSeaFloor&lt;/gx:altitudeMode&gt;
			&lt;/LookAt&gt;
			&lt;styleUrl&gt;#m_ylw-pushpin&lt;/styleUrl&gt;
			&lt;Point&gt;
				&lt;gx:drawOrder&gt;1&lt;/gx:drawOrder&gt;
				&lt;coordinates&gt;-42.77743396454066,-5.151424037816025,0&lt;/coordinates&gt;
			&lt;/Point&gt;
		&lt;/Placemark&gt;
		&lt;Placemark&gt;
			&lt;name&gt;RUA BANDEIRANTE&lt;/name&gt;
			&lt;styleUrl&gt;#msn_ylw-pushpin9&lt;/styleUrl&gt;
			&lt;LineString&gt;
				&lt;tessellate&gt;1&lt;/tessellate&gt;
				&lt;coordinates&gt;
					-42.77731703636137,-5.151565271096553,0 -42.77743307333974,-5.151425327522296,0 
				&lt;/coordinates&gt;
			&lt;/LineString&gt;
		&lt;/Placemark&gt;
		&lt;Placemark&gt;
			&lt;name&gt;P-5.157561 -42.607249&lt;/name&gt;
			&lt;LookAt&gt;
				&lt;gx:TimeStamp&gt;&lt;when&gt;2024-09-25T17:25:22Z&lt;/when&gt;
&lt;/gx:TimeStamp&gt;
				&lt;longitude&gt;-42.60724900105504&lt;/longitude&gt;
				&lt;latitude&gt;-5.157561000460869&lt;/latitude&gt;
				&lt;altitude&gt;0&lt;/altitude&gt;
				&lt;heading&gt;9.483420136786248e-11&lt;/heading&gt;
				&lt;tilt&gt;0&lt;/tilt&gt;
				&lt;range&gt;1000.000184683959&lt;/range&gt;
				&lt;gx:altitudeMode&gt;relativeToSeaFloor&lt;/gx:altitudeMode&gt;
			&lt;/LookAt&gt;
			&lt;styleUrl&gt;#m_ylw-pushpin&lt;/styleUrl&gt;
			&lt;Point&gt;
				&lt;gx:drawOrder&gt;1&lt;/gx:drawOrder&gt;
				&lt;coordinates&gt;-42.60724900105504,-5.157561000460869,0&lt;/coordinates&gt;
			&lt;/Point&gt;
		&lt;/Placemark&gt;
		&lt;Placemark&gt;
			&lt;name&gt;P-5.158283 -42.606690&lt;/name&gt;
			&lt;LookAt&gt;
				&lt;gx:TimeStamp&gt;&lt;when&gt;2024-09-25T17:25:22Z&lt;/when&gt;
&lt;/gx:TimeStamp&gt;
				&lt;longitude&gt;-42.60669000020518&lt;/longitude&gt;
				&lt;latitude&gt;-5.158282999803613&lt;/latitude&gt;
				&lt;altitude&gt;0&lt;/altitude&gt;
				&lt;heading&gt;1.844085604312547e-11&lt;/heading&gt;
				&lt;tilt&gt;0&lt;/tilt&gt;
				&lt;range&gt;1000.000208113029&lt;/range&gt;
				&lt;gx:altitudeMode&gt;relativeToSeaFloor&lt;/gx:altitudeMode&gt;
			&lt;/LookAt&gt;
			&lt;styleUrl&gt;#m_ylw-pushpin&lt;/styleUrl&gt;
			&lt;Point&gt;
				&lt;gx:drawOrder&gt;1&lt;/gx:drawOrder&gt;
				&lt;coordinates&gt;-42.60654085231334,-5.158548995664937,0&lt;/coordinates&gt;
			&lt;/Point&gt;
		&lt;/Placemark&gt;
		&lt;Placemark&gt;
			&lt;name&gt;RUA DA LADEIRA 01 - TERRA PROMETIDA&lt;/name&gt;
			&lt;styleUrl&gt;#msn_ylw-pushpin4&lt;/styleUrl&gt;
			&lt;LineString&gt;
				&lt;tessellate&gt;1&lt;/tessellate&gt;
				&lt;coordinates&gt;
					-42.60720756710599,-5.157566874092938,0 -42.60652698146063,-5.158528263671902,0 
				&lt;/coordinates&gt;
			&lt;/LineString&gt;
		&lt;/Placemark&gt;
		&lt;Placemark&gt;
			&lt;name&gt;P-5.158981 -42.683316&lt;/name&gt;
			&lt;LookAt&gt;
				&lt;gx:TimeStamp&gt;&lt;when&gt;2024-09-25T17:25:22Z&lt;/when&gt;
&lt;/gx:TimeStamp&gt;
				&lt;longitude&gt;-42.68331599978829&lt;/longitude&gt;
				&lt;latitude&gt;-5.158981000710871&lt;/latitude&gt;
				&lt;altitude&gt;0&lt;/altitude&gt;
				&lt;heading&gt;-1.905192011130164e-11&lt;/heading&gt;
				&lt;tilt&gt;0&lt;/tilt&gt;
				&lt;range&gt;1000.000138908207&lt;/range&gt;
				&lt;gx:altitudeMode&gt;relativeToSeaFloor&lt;/gx:altitudeMode&gt;
			&lt;/LookAt&gt;
			&lt;styleUrl&gt;#m_ylw-pushpin&lt;/styleUrl&gt;
			&lt;Point&gt;
				&lt;gx:drawOrder&gt;1&lt;/gx:drawOrder&gt;
				&lt;coordinates&gt;-42.68331599978829,-5.158981000710871,0&lt;/coordinates&gt;
			&lt;/Point&gt;
		&lt;/Placemark&gt;
		&lt;Placemark&gt;
			&lt;name&gt;P-5.157471 -42.683895&lt;/name&gt;
			&lt;LookAt&gt;
				&lt;gx:TimeStamp&gt;&lt;when&gt;2024-09-25T17:25:22Z&lt;/when&gt;
&lt;/gx:TimeStamp&gt;
				&lt;longitude&gt;-42.68389500037127&lt;/longitude&gt;
				&lt;latitude&gt;-5.157470999810017&lt;/latitude&gt;
				&lt;altitude&gt;0&lt;/altitude&gt;
				&lt;heading&gt;3.336878944057448e-11&lt;/heading&gt;
				&lt;tilt&gt;0&lt;/tilt&gt;
				&lt;range&gt;1000.000076171828&lt;/range&gt;
				&lt;gx:altitudeMode&gt;relativeToSeaFloor&lt;/gx:altitudeMode&gt;
			&lt;/LookAt&gt;
			&lt;styleUrl&gt;#m_ylw-pushpin&lt;/styleUrl&gt;
			&lt;Point&gt;
				&lt;gx:drawOrder&gt;1&lt;/gx:drawOrder&gt;
				&lt;coordinates&gt;-42.68389500037127,-5.157470999810017,0&lt;/coordinates&gt;
			&lt;/Point&gt;
		&lt;/Placemark&gt;
		&lt;Placemark&gt;
			&lt;name&gt;RUA 01 - LOTEAMENTO JOSÉ LUIZ&lt;/name&gt;
			&lt;styleUrl&gt;#msn_ylw-pushpin6&lt;/styleUrl&gt;
			&lt;LineString&gt;
				&lt;tessellate&gt;1&lt;/tessellate&gt;
				&lt;coordinates&gt;
					-42.68394703645126,-5.157474455058353,0 -42.68333437912595,-5.158979584504326,0 
				&lt;/coordinates&gt;
			&lt;/LineString&gt;
		&lt;/Placemark&gt;
		&lt;Placemark&gt;
			&lt;name&gt;P-5.157011 -42.684706&lt;/name&gt;
			&lt;LookAt&gt;
				&lt;gx:TimeStamp&gt;&lt;when&gt;2024-09-25T17:25:22Z&lt;/when&gt;
&lt;/gx:TimeStamp&gt;
				&lt;longitude&gt;-42.68438314273283&lt;/longitude&gt;
				&lt;latitude&gt;-5.156698780125221&lt;/latitude&gt;
				&lt;altitude&gt;0&lt;/altitude&gt;
				&lt;heading&gt;3.605789407880913e-05&lt;/heading&gt;
				&lt;tilt&gt;0&lt;/tilt&gt;
				&lt;range&gt;276.2732577830399&lt;/range&gt;
				&lt;gx:altitudeMode&gt;relativeToSeaFloor&lt;/gx:altitudeMode&gt;
			&lt;/LookAt&gt;
			&lt;styleUrl&gt;#m_ylw-pushpin&lt;/styleUrl&gt;
			&lt;Point&gt;
				&lt;gx:drawOrder&gt;1&lt;/gx:drawOrder&gt;
				&lt;coordinates&gt;-42.68475291233609,-5.156979049800495,0&lt;/coordinates&gt;
			&lt;/Point&gt;
		&lt;/Placemark&gt;
		&lt;Placemark&gt;
			&lt;name&gt;P-5.156634 -42.683978&lt;/name&gt;
			&lt;LookAt&gt;
				&lt;gx:TimeStamp&gt;&lt;when&gt;2024-09-25T17:25:22Z&lt;/when&gt;
&lt;/gx:TimeStamp&gt;
				&lt;longitude&gt;-42.68397803021045&lt;/longitude&gt;
				&lt;latitude&gt;-5.156634004888433&lt;/latitude&gt;
				&lt;altitude&gt;0&lt;/altitude&gt;
				&lt;heading&gt;2.688460056286152e-09&lt;/heading&gt;
				&lt;tilt&gt;0&lt;/tilt&gt;
				&lt;range&gt;999.9747325906756&lt;/range&gt;
				&lt;gx:altitudeMode&gt;relativeToSeaFloor&lt;/gx:altitudeMode&gt;
			&lt;/LookAt&gt;
			&lt;styleUrl&gt;#m_ylw-pushpin&lt;/styleUrl&gt;
			&lt;Point&gt;
				&lt;gx:drawOrder&gt;1&lt;/gx:drawOrder&gt;
				&lt;coordinates&gt;-42.68397803021045,-5.156634004888433,0&lt;/coordinates&gt;
			&lt;/Point&gt;
		&lt;/Placemark&gt;
		&lt;Placemark&gt;
			&lt;name&gt;RUA 02&lt;/name&gt;
			&lt;styleUrl&gt;#msn_ylw-pushpin0&lt;/styleUrl&gt;
			&lt;LineString&gt;
				&lt;tessellate&gt;1&lt;/tessellate&gt;
				&lt;coordinates&gt;
					-42.68474384012369,-5.156975786339342,0 -42.68397311499557,-5.156661879901044,0 
				&lt;/coordinates&gt;
			&lt;/LineString&gt;
		&lt;/Placemark&gt;
		&lt;atom:link rel="app" href="https://www.google.com/earth/about/versions/#earth-pro" title="Google Earth Pro 7.3.6.10201"&gt;&lt;/atom:link&gt;
	&lt;/Folder&gt;
&lt;/Document&gt;
&lt;/kml&gt;</t>
  </si>
  <si>
    <t>PAVIMENTAÇÃO DE VIAS PÚBLICAS EM PARALELEPÍPEDO NO MUNICÍPIO DE TERESINA - PI, COM ÁREA TOTAL DE 3.384,00 M²</t>
  </si>
  <si>
    <t>SÃO MATHEUS</t>
  </si>
  <si>
    <t>REFORMA DA COBERTURA E DAS INSTALAÇÕES ELÉTRICAS DO PRÉDIO DA SESAPI</t>
  </si>
  <si>
    <t>SERVIÇOS DE PAVIMENTAÇÃO ASFÁLTICA DE 3.535,00M² NA ÁREA DA MACRORREGIÃO II, MEIO NORTE, BASE TERESINA-PI 38/2014 HIDROS</t>
  </si>
  <si>
    <t>PAVIMENTAÇÃO ASFÁLTICA 2.078,50M² DE DIVERSAS RUAS NO MUNICÍPIO DE TERESINA-PI, CONTRATO 38/2014 - HIDROS</t>
  </si>
  <si>
    <t>REFORMA E AMPLIAÇÃO DA SEDE DA SETRANS-PI</t>
  </si>
  <si>
    <t>OPA ID 407 - CONTRATAÇÃO DE EMPRESA DE ENGENHARIA PARA REFORMA DO POLO ARTESANAL SÃO PEDRO, TERESINA-PI (OPA 2023 - 2024)</t>
  </si>
  <si>
    <t>REFORMA DO PRÉDIO DO SAMU/COMPLEXO REGULADOR DO ESTADO E IV CORDENAÇÃO REGIONAL DE SAÚDE EM TERESINA PIAUÍ</t>
  </si>
  <si>
    <t>SÃO RAIMUNDO</t>
  </si>
  <si>
    <t>&lt;?xml version="1.0" encoding="UTF-8"?&gt;
&lt;kml xmlns="http://www.opengis.net/kml/2.2" xmlns:gx="http://www.google.com/kml/ext/2.2" xmlns:kml="http://www.opengis.net/kml/2.2" xmlns:atom="http://www.w3.org/2005/Atom"&gt;
&lt;Document id="document"&gt;
	&lt;name&gt;Mapa sem título&lt;/name&gt;
	&lt;gx:CascadingStyle kml:id="__managed_style_0EB3A27B5C3F13E4537E_highlight"&gt;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kml:id="__managed_style_0EB3A27B5C3F13E4537E_normal"&gt;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id="__managed_style_0EB3A27B5C3F13E4537E"&gt;
		&lt;Pair&gt;
			&lt;key&gt;normal&lt;/key&gt;
			&lt;styleUrl&gt;#__managed_style_0EB3A27B5C3F13E4537E_normal&lt;/styleUrl&gt;
		&lt;/Pair&gt;
		&lt;Pair&gt;
			&lt;key&gt;highlight&lt;/key&gt;
			&lt;styleUrl&gt;#__managed_style_0EB3A27B5C3F13E4537E_highlight&lt;/styleUrl&gt;
		&lt;/Pair&gt;
	&lt;/StyleMap&gt;
	&lt;Placemark id="0D9004B2B53F13E45376"&gt;
		&lt;name&gt;SAMU PI &lt;/name&gt;
		&lt;LookAt&gt;
			&lt;longitude&gt;-42.76503216188363&lt;/longitude&gt;
			&lt;latitude&gt;-5.097196757681293&lt;/latitude&gt;
			&lt;altitude&gt;82.27659426410554&lt;/altitude&gt;
			&lt;heading&gt;342.3894499691365&lt;/heading&gt;
			&lt;tilt&gt;0&lt;/tilt&gt;
			&lt;gx:fovy&gt;35&lt;/gx:fovy&gt;
			&lt;range&gt;501.2558688227&lt;/range&gt;
			&lt;altitudeMode&gt;absolute&lt;/altitudeMode&gt;
		&lt;/LookAt&gt;
		&lt;styleUrl&gt;#__managed_style_0EB3A27B5C3F13E4537E&lt;/styleUrl&gt;
		&lt;Point&gt;
			&lt;coordinates&gt;-42.76444917695646,-5.096412382487444,82.19237167783669&lt;/coordinates&gt;
		&lt;/Point&gt;
	&lt;/Placemark&gt;
&lt;/Document&gt;
&lt;/kml&gt;</t>
  </si>
  <si>
    <t>OBRA DE MUDANÇA DE LAYOUT NO PAVIMENTO TÉRREO DA AGÊNCIA DE DESENVOLVIMENTO HABITACIONAL - ADH EM TERESINA - PIAUÍ</t>
  </si>
  <si>
    <t>SÃO SEBASTIÃO</t>
  </si>
  <si>
    <t>&lt;?xml version="1.0" encoding="UTF-8"?&gt;
&lt;kml xmlns="http://www.opengis.net/kml/2.2" xmlns:gx="http://www.google.com/kml/ext/2.2" xmlns:kml="http://www.opengis.net/kml/2.2" xmlns:atom="http://www.w3.org/2005/Atom"&gt;
&lt;Document&gt;
	&lt;name&gt;OBRA DE MUDANÇA DE LAYOUT NO PAVIMENTO TÉRREO DA AGÊNCIA DE DESENVOLVIMENTO HABITACIONAL - ADH EM TERESINA - PIAUÍ.kmz&lt;/name&gt;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&lt;name&gt;OBRA DE MUDANÇA DE LAYOUT NO PAVIMENTO TÉRREO DA AGÊNCIA DE DESENVOLVIMENTO HABITACIONAL - ADH EM TERESINA - PIAUÍ&lt;/name&gt;
		&lt;LookAt&gt;
			&lt;longitude&gt;-42.80869734538006&lt;/longitude&gt;
			&lt;latitude&gt;-4.97988803611013&lt;/latitude&gt;
			&lt;altitude&gt;0&lt;/altitude&gt;
			&lt;heading&gt;-7.044115048226254e-05&lt;/heading&gt;
			&lt;tilt&gt;27.71004711115843&lt;/tilt&gt;
			&lt;range&gt;192.557591188931&lt;/range&gt;
			&lt;gx:altitudeMode&gt;relativeToSeaFloor&lt;/gx:altitudeMode&gt;
		&lt;/LookAt&gt;
		&lt;styleUrl&gt;#m_ylw-pushpin&lt;/styleUrl&gt;
		&lt;Point&gt;
			&lt;gx:drawOrder&gt;1&lt;/gx:drawOrder&gt;
			&lt;coordinates&gt;-42.81248055555555,-5.095797222222222,0&lt;/coordinates&gt;
		&lt;/Point&gt;
		&lt;atom:link rel="app" href="https://www.google.com/earth/about/versions/#earth-pro" title="Google Earth Pro 7.3.7.1155"&gt;&lt;/atom:link&gt;
	&lt;/Placemark&gt;
&lt;/Document&gt;
&lt;/kml&gt;</t>
  </si>
  <si>
    <t>CONSTRUÇÃO DE MERCADO PÚBLICO, COM ÁREA DE 980 M², NO BAIRRO TODOS OS SANTOS NO MUNICÍPIO DE TERESINA-PI. CONT. 66/2024 - LAURITA</t>
  </si>
  <si>
    <t>&lt;?xml version="1.0" encoding="UTF-8"?&gt;
&lt;kml xmlns="http://www.opengis.net/kml/2.2" xmlns:gx="http://www.google.com/kml/ext/2.2" xmlns:kml="http://www.opengis.net/kml/2.2" xmlns:atom="http://www.w3.org/2005/Atom"&gt;
&lt;Document&gt;
	&lt;name&gt;MERCADO TODOS OS SANTOS.kmz&lt;/name&gt;
	&lt;open&gt;1&lt;/open&gt;
	&lt;atom:link rel="app" href="https://www.google.com/earth/about/versions/#earth-pro" title="Google Earth Pro 7.3.6.10201"&gt;&lt;/atom:link&gt;
	&lt;StyleMap id="msn_ylw-pushpin"&gt;
		&lt;Pair&gt;
			&lt;key&gt;normal&lt;/key&gt;
			&lt;styleUrl&gt;#sn_ylw-pushpin&lt;/styleUrl&gt;
		&lt;/Pair&gt;
		&lt;Pair&gt;
			&lt;key&gt;highlight&lt;/key&gt;
			&lt;styleUrl&gt;#sh_ylw-pushpin&lt;/styleUrl&gt;
		&lt;/Pair&gt;
	&lt;/StyleMap&gt;
	&lt;Style id="sh_ylw-pushpin"&gt;
		&lt;IconStyle&gt;
			&lt;scale&gt;1.3&lt;/scale&gt;
			&lt;Icon&gt;
				&lt;href&gt;http://maps.google.com/mapfiles/kml/pushpin/ylw-pushpin.png&lt;/href&gt;
			&lt;/Icon&gt;
			&lt;hotSpot x="20" y="2" xunits="pixels" yunits="pixels"/&gt;
		&lt;/IconStyle&gt;
		&lt;LineStyle&gt;
			&lt;color&gt;ffffaa00&lt;/color&gt;
			&lt;width&gt;5&lt;/width&gt;
		&lt;/LineStyle&gt;
	&lt;/Style&gt;
	&lt;Style id="sn_ylw-pushpin"&gt;
		&lt;IconStyle&gt;
			&lt;scale&gt;1.1&lt;/scale&gt;
			&lt;Icon&gt;
				&lt;href&gt;http://maps.google.com/mapfiles/kml/pushpin/ylw-pushpin.png&lt;/href&gt;
			&lt;/Icon&gt;
			&lt;hotSpot x="20" y="2" xunits="pixels" yunits="pixels"/&gt;
		&lt;/IconStyle&gt;
		&lt;LineStyle&gt;
			&lt;color&gt;ffffaa00&lt;/color&gt;
			&lt;width&gt;5&lt;/width&gt;
		&lt;/LineStyle&gt;
	&lt;/Style&gt;
	&lt;Placemark&gt;
		&lt;name&gt;MERCADO TODOS OS SANTOS&lt;/name&gt;
		&lt;styleUrl&gt;#msn_ylw-pushpin&lt;/styleUrl&gt;
		&lt;LineString&gt;
			&lt;tessellate&gt;1&lt;/tessellate&gt;
			&lt;coordinates&gt;
				-42.72907571024999,-5.102523144232252,0 -42.72877490289365,-5.102479623805877,0 -42.72872317506255,-5.103066849558367,0 -42.72901262523618,-5.103173650418617,0 -42.72907571024999,-5.102523144232252,0 
			&lt;/coordinates&gt;
		&lt;/LineString&gt;
	&lt;/Placemark&gt;
&lt;/Document&gt;
&lt;/kml&gt;</t>
  </si>
  <si>
    <t>REFORMA DO CENTRO COMUNITÁRIO PSH TABOCAS, COM ÁREA DE 252,22 M², BAIRRO TABOCA DO PAU FERRADO NO MUNICÍPIO DE TERESINA - PI. CONT. Nº 74/2024 - FORTI. (OPA)</t>
  </si>
  <si>
    <t>TABOCA</t>
  </si>
  <si>
    <t>&lt;?xml version="1.0" encoding="UTF-8"?&gt;
&lt;kml xmlns="http://www.opengis.net/kml/2.2" xmlns:gx="http://www.google.com/kml/ext/2.2" xmlns:kml="http://www.opengis.net/kml/2.2" xmlns:atom="http://www.w3.org/2005/Atom"&gt;
&lt;Document&gt;
	&lt;name&gt;PSH TABOCAS.kmz&lt;/name&gt;
	&lt;open&gt;1&lt;/open&gt;
	&lt;atom:link rel="app" href="https://www.google.com/earth/about/versions/#earth-pro" title="Google Earth Pro 7.3.6.10201"&gt;&lt;/atom:link&gt;
	&lt;StyleMap id="msn_ylw-pushpin"&gt;
		&lt;Pair&gt;
			&lt;key&gt;normal&lt;/key&gt;
			&lt;styleUrl&gt;#sn_ylw-pushpin&lt;/styleUrl&gt;
		&lt;/Pair&gt;
		&lt;Pair&gt;
			&lt;key&gt;highlight&lt;/key&gt;
			&lt;styleUrl&gt;#sh_ylw-pushpin&lt;/styleUrl&gt;
		&lt;/Pair&gt;
	&lt;/StyleMap&gt;
	&lt;Style id="sh_ylw-pushpin"&gt;
		&lt;IconStyle&gt;
			&lt;scale&gt;1.3&lt;/scale&gt;
			&lt;Icon&gt;
				&lt;href&gt;http://maps.google.com/mapfiles/kml/pushpin/ylw-pushpin.png&lt;/href&gt;
			&lt;/Icon&gt;
			&lt;hotSpot x="20" y="2" xunits="pixels" yunits="pixels"/&gt;
		&lt;/IconStyle&gt;
		&lt;LineStyle&gt;
			&lt;color&gt;ffffaa00&lt;/color&gt;
			&lt;width&gt;5&lt;/width&gt;
		&lt;/LineStyle&gt;
	&lt;/Style&gt;
	&lt;Style id="sn_ylw-pushpin"&gt;
		&lt;IconStyle&gt;
			&lt;scale&gt;1.1&lt;/scale&gt;
			&lt;Icon&gt;
				&lt;href&gt;http://maps.google.com/mapfiles/kml/pushpin/ylw-pushpin.png&lt;/href&gt;
			&lt;/Icon&gt;
			&lt;hotSpot x="20" y="2" xunits="pixels" yunits="pixels"/&gt;
		&lt;/IconStyle&gt;
		&lt;LineStyle&gt;
			&lt;color&gt;ffffaa00&lt;/color&gt;
			&lt;width&gt;5&lt;/width&gt;
		&lt;/LineStyle&gt;
	&lt;/Style&gt;
	&lt;Placemark&gt;
		&lt;name&gt;PSH TABOCAS&lt;/name&gt;
		&lt;styleUrl&gt;#msn_ylw-pushpin&lt;/styleUrl&gt;
		&lt;LineString&gt;
			&lt;tessellate&gt;1&lt;/tessellate&gt;
			&lt;coordinates&gt;
				-42.69444106204705,-5.085961489127764,0 -42.69434529668855,-5.086203242135677,0 -42.69418601521424,-5.086142367477505,0 -42.69428345479695,-5.085900092927756,0 -42.69444106204705,-5.085961489127764,0 
			&lt;/coordinates&gt;
		&lt;/LineString&gt;
	&lt;/Placemark&gt;
&lt;/Document&gt;
&lt;/kml&gt;</t>
  </si>
  <si>
    <t>PAVIMENTAÇÃO EM PARALELEPÍPEDO DE 12.759 M² DE RUAS NO MUNICÍPIO DE TERESINA - PI</t>
  </si>
  <si>
    <t>TANCREDO NEVES,ININGA,DESTRITO INDUSTRIAL,SACI</t>
  </si>
  <si>
    <t>&lt;?xml version="1.0" encoding="UTF-8"?&gt;
&lt;kml xmlns="http://www.opengis.net/kml/2.2" xmlns:gx="http://www.google.com/kml/ext/2.2" xmlns:kml="http://www.opengis.net/kml/2.2" xmlns:atom="http://www.w3.org/2005/Atom"&gt;
&lt;Document id="document"&gt;
	&lt;name&gt;Mapa sem título&lt;/name&gt;
	&lt;gx:CascadingStyle kml:id="__managed_style_03D5F9416A3F13E5EC94_highlight"&gt;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kml:id="__managed_style_03D5F9416A3F13E5EC94_normal"&gt;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id="__managed_style_03D5F9416A3F13E5EC94"&gt;
		&lt;Pair&gt;
			&lt;key&gt;normal&lt;/key&gt;
			&lt;styleUrl&gt;#__managed_style_03D5F9416A3F13E5EC94_normal&lt;/styleUrl&gt;
		&lt;/Pair&gt;
		&lt;Pair&gt;
			&lt;key&gt;highlight&lt;/key&gt;
			&lt;styleUrl&gt;#__managed_style_03D5F9416A3F13E5EC94_highlight&lt;/styleUrl&gt;
		&lt;/Pair&gt;
	&lt;/StyleMap&gt;
	&lt;Placemark id="0B607F05DE3F13E5EC59"&gt;
		&lt;name&gt;Caminho sem título&lt;/name&gt;
		&lt;LookAt&gt;
			&lt;longitude&gt;-42.79652097097215&lt;/longitude&gt;
			&lt;latitude&gt;-4.965613639139604&lt;/latitude&gt;
			&lt;altitude&gt;112.3171575913202&lt;/altitude&gt;
			&lt;heading&gt;0&lt;/heading&gt;
			&lt;tilt&gt;0&lt;/tilt&gt;
			&lt;gx:fovy&gt;35&lt;/gx:fovy&gt;
			&lt;range&gt;1975.136053626775&lt;/range&gt;
			&lt;altitudeMode&gt;absolute&lt;/altitudeMode&gt;
		&lt;/LookAt&gt;
		&lt;styleUrl&gt;#__managed_style_03D5F9416A3F13E5EC94&lt;/styleUrl&gt;
		&lt;LineString&gt;
			&lt;coordinates&gt;
				-42.79181104831596,-4.965925262794276,0 -42.79671135779276,-4.965501020850511,0 
			&lt;/coordinates&gt;
		&lt;/LineString&gt;
	&lt;/Placemark&gt;
	&lt;Placemark id="0641AF6BFE3F13E5F9D0"&gt;
		&lt;name&gt;Marcador de local sem título&lt;/name&gt;
		&lt;LookAt&gt;
			&lt;longitude&gt;-42.79652097097215&lt;/longitude&gt;
			&lt;latitude&gt;-4.965613639139604&lt;/latitude&gt;
			&lt;altitude&gt;112.3171575913202&lt;/altitude&gt;
			&lt;heading&gt;0&lt;/heading&gt;
			&lt;tilt&gt;0&lt;/tilt&gt;
			&lt;gx:fovy&gt;35&lt;/gx:fovy&gt;
			&lt;range&gt;1975.136053626775&lt;/range&gt;
			&lt;altitudeMode&gt;absolute&lt;/altitudeMode&gt;
		&lt;/LookAt&gt;
		&lt;styleUrl&gt;#__managed_style_03D5F9416A3F13E5EC94&lt;/styleUrl&gt;
		&lt;Point&gt;
			&lt;coordinates&gt;-42.79183398530632,-4.965937069256661,127.5301624910094&lt;/coordinates&gt;
		&lt;/Point&gt;
	&lt;/Placemark&gt;
	&lt;Placemark id="06C6F671EB3F13E78831"&gt;
		&lt;name&gt;Caminho sem título&lt;/name&gt;
		&lt;LookAt&gt;
			&lt;longitude&gt;-42.78993719047092&lt;/longitude&gt;
			&lt;latitude&gt;-5.048383906549755&lt;/latitude&gt;
			&lt;altitude&gt;72.52706134340204&lt;/altitude&gt;
			&lt;heading&gt;29.25516832594721&lt;/heading&gt;
			&lt;tilt&gt;0.2391685578668262&lt;/tilt&gt;
			&lt;gx:fovy&gt;35&lt;/gx:fovy&gt;
			&lt;range&gt;564.5470784600184&lt;/range&gt;
			&lt;altitudeMode&gt;absolute&lt;/altitudeMode&gt;
		&lt;/LookAt&gt;
		&lt;styleUrl&gt;#__managed_style_03D5F9416A3F13E5EC94&lt;/styleUrl&gt;
		&lt;LineString&gt;
			&lt;coordinates&gt;
				-42.78975427901077,-5.048169534742143,0 -42.7906340107687,-5.047778624269103,0 -42.79071304652643,-5.048135987197878,0 
			&lt;/coordinates&gt;
		&lt;/LineString&gt;
	&lt;/Placemark&gt;
	&lt;Placemark id="0159CE7F423F13E794F7"&gt;
		&lt;name&gt;Marcador de local sem título&lt;/name&gt;
		&lt;LookAt&gt;
			&lt;longitude&gt;-42.78993719047092&lt;/longitude&gt;
			&lt;latitude&gt;-5.048383906549755&lt;/latitude&gt;
			&lt;altitude&gt;72.52706134340204&lt;/altitude&gt;
			&lt;heading&gt;29.25516832594721&lt;/heading&gt;
			&lt;tilt&gt;0.2391685578668262&lt;/tilt&gt;
			&lt;gx:fovy&gt;35&lt;/gx:fovy&gt;
			&lt;range&gt;564.5470784600184&lt;/range&gt;
			&lt;altitudeMode&gt;absolute&lt;/altitudeMode&gt;
		&lt;/LookAt&gt;
		&lt;styleUrl&gt;#__managed_style_03D5F9416A3F13E5EC94&lt;/styleUrl&gt;
		&lt;Point&gt;
			&lt;coordinates&gt;-42.78975464299415,-5.048177109344188,72.74899084233637&lt;/coordinates&gt;
		&lt;/Point&gt;
	&lt;/Placemark&gt;
	&lt;Placemark id="0DE41534A13F13E961D3"&gt;
		&lt;name&gt;Caminho sem título&lt;/name&gt;
		&lt;LookAt&gt;
			&lt;longitude&gt;-42.80393158566515&lt;/longitude&gt;
			&lt;latitude&gt;-5.143621023351976&lt;/latitude&gt;
			&lt;altitude&gt;68.00770473477633&lt;/altitude&gt;
			&lt;heading&gt;-0.001772743716200652&lt;/heading&gt;
			&lt;tilt&gt;0.1335013126199649&lt;/tilt&gt;
			&lt;gx:fovy&gt;35&lt;/gx:fovy&gt;
			&lt;range&gt;361.9474409555914&lt;/range&gt;
			&lt;altitudeMode&gt;absolute&lt;/altitudeMode&gt;
		&lt;/LookAt&gt;
		&lt;styleUrl&gt;#__managed_style_03D5F9416A3F13E5EC94&lt;/styleUrl&gt;
		&lt;LineString&gt;
			&lt;coordinates&gt;
				-42.80369025483146,-5.143591806288738,0 -42.8040036550121,-5.143665605621927,0 -42.80429101814044,-5.143650464948384,0 
			&lt;/coordinates&gt;
		&lt;/LineString&gt;
	&lt;/Placemark&gt;
	&lt;Placemark id="02C17A83EF3F13E99844"&gt;
		&lt;name&gt;Marcador de local sem título&lt;/name&gt;
		&lt;LookAt&gt;
			&lt;longitude&gt;-42.80393158566515&lt;/longitude&gt;
			&lt;latitude&gt;-5.143621023351976&lt;/latitude&gt;
			&lt;altitude&gt;68.00770473477633&lt;/altitude&gt;
			&lt;heading&gt;-0.001772743716490652&lt;/heading&gt;
			&lt;tilt&gt;0.1335013125981245&lt;/tilt&gt;
			&lt;gx:fovy&gt;35&lt;/gx:fovy&gt;
			&lt;range&gt;361.9474409555914&lt;/range&gt;
			&lt;altitudeMode&gt;absolute&lt;/altitudeMode&gt;
		&lt;/LookAt&gt;
		&lt;styleUrl&gt;#__managed_style_03D5F9416A3F13E5EC94&lt;/styleUrl&gt;
		&lt;Point&gt;
			&lt;coordinates&gt;-42.80356492251487,-5.143031397604998,72.1288451046851&lt;/coordinates&gt;
		&lt;/Point&gt;
	&lt;/Placemark&gt;
	&lt;Placemark id="03BB72214B3F13E98FE8"&gt;
		&lt;name&gt;Caminho sem título&lt;/name&gt;
		&lt;LookAt&gt;
			&lt;longitude&gt;-42.80393158566515&lt;/longitude&gt;
			&lt;latitude&gt;-5.143621023351976&lt;/latitude&gt;
			&lt;altitude&gt;68.00770473477633&lt;/altitude&gt;
			&lt;heading&gt;-0.001772743716490652&lt;/heading&gt;
			&lt;tilt&gt;0.1335013125981245&lt;/tilt&gt;
			&lt;gx:fovy&gt;35&lt;/gx:fovy&gt;
			&lt;range&gt;361.9474409555914&lt;/range&gt;
			&lt;altitudeMode&gt;absolute&lt;/altitudeMode&gt;
		&lt;/LookAt&gt;
		&lt;styleUrl&gt;#__managed_style_03D5F9416A3F13E5EC94&lt;/styleUrl&gt;
		&lt;LineString&gt;
			&lt;coordinates&gt;
				-42.80385339223889,-5.14334520122173,0 -42.80372319429172,-5.143427547645523,0 -42.80357629118787,-5.143406367105468,0 -42.80356799545928,-5.143333302389655,0 -42.80356708117967,-5.143027103984591,0 
			&lt;/coordinates&gt;
		&lt;/LineString&gt;
	&lt;/Placemark&gt;
	&lt;Placemark id="063407FB5F3F13E9A696"&gt;
		&lt;name&gt;Marcador de local sem título&lt;/name&gt;
		&lt;LookAt&gt;
			&lt;longitude&gt;-42.80393158566515&lt;/longitude&gt;
			&lt;latitude&gt;-5.143621023351976&lt;/latitude&gt;
			&lt;altitude&gt;68.00770473477633&lt;/altitude&gt;
			&lt;heading&gt;-0.001772743716490652&lt;/heading&gt;
			&lt;tilt&gt;0.1335013125981245&lt;/tilt&gt;
			&lt;gx:fovy&gt;35&lt;/gx:fovy&gt;
			&lt;range&gt;361.9474409555914&lt;/range&gt;
			&lt;altitudeMode&gt;absolute&lt;/altitudeMode&gt;
		&lt;/LookAt&gt;
		&lt;styleUrl&gt;#__managed_style_03D5F9416A3F13E5EC94&lt;/styleUrl&gt;
		&lt;Point&gt;
			&lt;coordinates&gt;-42.80368807596956,-5.143596136417626,69.11972392143949&lt;/coordinates&gt;
		&lt;/Point&gt;
	&lt;/Placemark&gt;
	&lt;Placemark id="082E7E4B573F13EA817E"&gt;
		&lt;name&gt;Caminho sem título&lt;/name&gt;
		&lt;LookAt&gt;
			&lt;longitude&gt;-42.80650428322486&lt;/longitude&gt;
			&lt;latitude&gt;-5.140344642040391&lt;/latitude&gt;
			&lt;altitude&gt;67.14971131704019&lt;/altitude&gt;
			&lt;heading&gt;0&lt;/heading&gt;
			&lt;tilt&gt;0&lt;/tilt&gt;
			&lt;gx:fovy&gt;35&lt;/gx:fovy&gt;
			&lt;range&gt;234.8415324218149&lt;/range&gt;
			&lt;altitudeMode&gt;absolute&lt;/altitudeMode&gt;
		&lt;/LookAt&gt;
		&lt;styleUrl&gt;#__managed_style_03D5F9416A3F13E5EC94&lt;/styleUrl&gt;
		&lt;LineString&gt;
			&lt;coordinates&gt;
				-42.80705604815526,-5.140254002402286,0 -42.80635773011672,-5.140350957823775,0 
			&lt;/coordinates&gt;
		&lt;/LineString&gt;
	&lt;/Placemark&gt;
	&lt;Placemark id="0CEB7F540E3F13EA8F13"&gt;
		&lt;name&gt;Marcador de local sem título&lt;/name&gt;
		&lt;LookAt&gt;
			&lt;longitude&gt;-42.80650428322486&lt;/longitude&gt;
			&lt;latitude&gt;-5.140344642040391&lt;/latitude&gt;
			&lt;altitude&gt;67.14971131704019&lt;/altitude&gt;
			&lt;heading&gt;0&lt;/heading&gt;
			&lt;tilt&gt;0&lt;/tilt&gt;
			&lt;gx:fovy&gt;35&lt;/gx:fovy&gt;
			&lt;range&gt;234.8415324218149&lt;/range&gt;
			&lt;altitudeMode&gt;absolute&lt;/altitudeMode&gt;
		&lt;/LookAt&gt;
		&lt;styleUrl&gt;#__managed_style_03D5F9416A3F13E5EC94&lt;/styleUrl&gt;
		&lt;Point&gt;
			&lt;coordinates&gt;-42.80635632404341,-5.140352361094623,68.12248103013127&lt;/coordinates&gt;
		&lt;/Point&gt;
	&lt;/Placemark&gt;
	&lt;Placemark id="0C430D25433F13EC75C6"&gt;
		&lt;name&gt;Caminho sem título&lt;/name&gt;
		&lt;LookAt&gt;
			&lt;longitude&gt;-42.80767317442098&lt;/longitude&gt;
			&lt;latitude&gt;-5.137231817657137&lt;/latitude&gt;
			&lt;altitude&gt;70.07631064817564&lt;/altitude&gt;
			&lt;heading&gt;0&lt;/heading&gt;
			&lt;tilt&gt;0&lt;/tilt&gt;
			&lt;gx:fovy&gt;35&lt;/gx:fovy&gt;
			&lt;range&gt;1430.08541548581&lt;/range&gt;
			&lt;altitudeMode&gt;absolute&lt;/altitudeMode&gt;
		&lt;/LookAt&gt;
		&lt;styleUrl&gt;#__managed_style_03D5F9416A3F13E5EC94&lt;/styleUrl&gt;
		&lt;LineString&gt;
			&lt;coordinates&gt;
				-42.8083207588503,-5.137476911112284,0 -42.80805298356085,-5.135774563614655,0 
			&lt;/coordinates&gt;
		&lt;/LineString&gt;
	&lt;/Placemark&gt;
	&lt;Placemark id="07312891443F13EC892C"&gt;
		&lt;name&gt;Marcador de local sem título&lt;/name&gt;
		&lt;LookAt&gt;
			&lt;longitude&gt;-42.80767317442098&lt;/longitude&gt;
			&lt;latitude&gt;-5.137231817657137&lt;/latitude&gt;
			&lt;altitude&gt;70.07631064817564&lt;/altitude&gt;
			&lt;heading&gt;0&lt;/heading&gt;
			&lt;tilt&gt;0&lt;/tilt&gt;
			&lt;gx:fovy&gt;35&lt;/gx:fovy&gt;
			&lt;range&gt;1430.08541548581&lt;/range&gt;
			&lt;altitudeMode&gt;absolute&lt;/altitudeMode&gt;
		&lt;/LookAt&gt;
		&lt;styleUrl&gt;#__managed_style_03D5F9416A3F13E5EC94&lt;/styleUrl&gt;
		&lt;Point&gt;
			&lt;coordinates&gt;-42.80830348949902,-5.137468311062142,67.12771234896934&lt;/coordinates&gt;
		&lt;/Point&gt;
	&lt;/Placemark&gt;
	&lt;Placemark id="00A940C62F3F13ED8126"&gt;
		&lt;name&gt;Caminho sem título&lt;/name&gt;
		&lt;LookAt&gt;
			&lt;longitude&gt;-42.77272212019978&lt;/longitude&gt;
			&lt;latitude&gt;-5.112876923189789&lt;/latitude&gt;
			&lt;altitude&gt;67.94738171367737&lt;/altitude&gt;
			&lt;heading&gt;-6.641519408510606&lt;/heading&gt;
			&lt;tilt&gt;0.0839389028689858&lt;/tilt&gt;
			&lt;gx:fovy&gt;35&lt;/gx:fovy&gt;
			&lt;range&gt;1059.387619555928&lt;/range&gt;
			&lt;altitudeMode&gt;absolute&lt;/altitudeMode&gt;
		&lt;/LookAt&gt;
		&lt;styleUrl&gt;#__managed_style_03D5F9416A3F13E5EC94&lt;/styleUrl&gt;
		&lt;LineString&gt;
			&lt;coordinates&gt;
				-42.77219111862371,-5.11237135458373,0 -42.772598797726,-5.11228372129397,0 -42.77484006190097,-5.113529505238809,0 
			&lt;/coordinates&gt;
		&lt;/LineString&gt;
	&lt;/Placemark&gt;
	&lt;Placemark id="00E73BAE433F13ED609E"&gt;
		&lt;name&gt;Marcador de local sem título&lt;/name&gt;
		&lt;LookAt&gt;
			&lt;longitude&gt;-42.77272212019978&lt;/longitude&gt;
			&lt;latitude&gt;-5.112876923189789&lt;/latitude&gt;
			&lt;altitude&gt;67.94738171367737&lt;/altitude&gt;
			&lt;heading&gt;-6.641519408510606&lt;/heading&gt;
			&lt;tilt&gt;0.0839389028689858&lt;/tilt&gt;
			&lt;gx:fovy&gt;35&lt;/gx:fovy&gt;
			&lt;range&gt;1059.387619555928&lt;/range&gt;
			&lt;altitudeMode&gt;absolute&lt;/altitudeMode&gt;
		&lt;/LookAt&gt;
		&lt;styleUrl&gt;#__managed_style_03D5F9416A3F13E5EC94&lt;/styleUrl&gt;
		&lt;Point&gt;
			&lt;coordinates&gt;-42.77218259972601,-5.112389548982767,70.00478405879007&lt;/coordinates&gt;
		&lt;/Point&gt;
	&lt;/Placemark&gt;
	&lt;Placemark id="0081332ABD3F13EE372C"&gt;
		&lt;name&gt;Caminho sem título&lt;/name&gt;
		&lt;LookAt&gt;
			&lt;longitude&gt;-42.70135150533948&lt;/longitude&gt;
			&lt;latitude&gt;-5.060669447779438&lt;/latitude&gt;
			&lt;altitude&gt;117.1974991859614&lt;/altitude&gt;
			&lt;heading&gt;359.9999555324144&lt;/heading&gt;
			&lt;tilt&gt;0&lt;/tilt&gt;
			&lt;gx:fovy&gt;35&lt;/gx:fovy&gt;
			&lt;range&gt;1001.816965926992&lt;/range&gt;
			&lt;altitudeMode&gt;absolute&lt;/altitudeMode&gt;
		&lt;/LookAt&gt;
		&lt;styleUrl&gt;#__managed_style_03D5F9416A3F13E5EC94&lt;/styleUrl&gt;
		&lt;LineString&gt;
			&lt;coordinates&gt;
				-42.69973796360092,-5.062781567463492,0 -42.70105639596062,-5.060126521148261,0 -42.70138164851041,-5.059663613563806,0 
			&lt;/coordinates&gt;
		&lt;/LineString&gt;
	&lt;/Placemark&gt;
	&lt;Placemark id="0CFBB6DCE23F13EE41C8"&gt;
		&lt;name&gt;Marcador de local sem título&lt;/name&gt;
		&lt;LookAt&gt;
			&lt;longitude&gt;-42.70135150533948&lt;/longitude&gt;
			&lt;latitude&gt;-5.060669447779438&lt;/latitude&gt;
			&lt;altitude&gt;117.1974991859614&lt;/altitude&gt;
			&lt;heading&gt;359.9999555324144&lt;/heading&gt;
			&lt;tilt&gt;0&lt;/tilt&gt;
			&lt;gx:fovy&gt;35&lt;/gx:fovy&gt;
			&lt;range&gt;1001.816965926992&lt;/range&gt;
			&lt;altitudeMode&gt;absolute&lt;/altitudeMode&gt;
		&lt;/LookAt&gt;
		&lt;styleUrl&gt;#__managed_style_03D5F9416A3F13E5EC94&lt;/styleUrl&gt;
		&lt;Point&gt;
			&lt;coordinates&gt;-42.69973796410178,-5.062787542214994,123.3790917725873&lt;/coordinates&gt;
		&lt;/Point&gt;
	&lt;/Placemark&gt;
&lt;/Document&gt;
&lt;/kml&gt;</t>
  </si>
  <si>
    <t>CONSTRUÇÃO DE CANTEIRO CENTRAL DAS AV. GERARDO VASCONCELOS, RUA VOLTA REDONDA E AV. ALVINA FERNANDES NO BAIRRO PLANALTO URUGUAI NO MUNICÍPIO DE TERESINA-PI</t>
  </si>
  <si>
    <t>&lt;?xml version="1.0" encoding="UTF-8"?&gt;
&lt;kml xmlns="http://www.opengis.net/kml/2.2" xmlns:gx="http://www.google.com/kml/ext/2.2" xmlns:kml="http://www.opengis.net/kml/2.2" xmlns:atom="http://www.w3.org/2005/Atom"&gt;
&lt;Document&gt;
	&lt;name&gt;CANTEIRO CENTRAL PLANALTO URUGUAI.kmz&lt;/name&gt;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&lt;Folder&gt;
		&lt;name&gt;CANTEIRO CENTRAL PLANALTO URUGUAI&lt;/name&gt;
		&lt;open&gt;1&lt;/open&gt;
		&lt;Placemark&gt;
			&lt;name&gt;CANTEIRO CENTRAL PLANALTO URUGUAI&lt;/name&gt;
			&lt;Camera&gt;
				&lt;longitude&gt;-42.73743274376289&lt;/longitude&gt;
				&lt;latitude&gt;-5.063694573813895&lt;/latitude&gt;
				&lt;altitude&gt;1440.446902752952&lt;/altitude&gt;
				&lt;heading&gt;-4.335378808392702&lt;/heading&gt;
				&lt;tilt&gt;26.99016794591115&lt;/tilt&gt;
				&lt;roll&gt;1.019205346290295&lt;/roll&gt;
				&lt;gx:altitudeMode&gt;relativeToSeaFloor&lt;/gx:altitudeMode&gt;
			&lt;/Camera&gt;
			&lt;styleUrl&gt;#m_ylw-pushpin&lt;/styleUrl&gt;
			&lt;Point&gt;
				&lt;gx:drawOrder&gt;1&lt;/gx:drawOrder&gt;
				&lt;coordinates&gt;-42.73840277437723,-5.057401702889215,0&lt;/coordinates&gt;
			&lt;/Point&gt;
		&lt;/Placemark&gt;
		&lt;atom:link rel="app" href="https://www.google.com/earth/about/versions/#earth-pro" title="Google Earth Pro 7.3.6.10201"&gt;&lt;/atom:link&gt;
	&lt;/Folder&gt;
&lt;/Document&gt;
&lt;/kml&gt;</t>
  </si>
  <si>
    <t>PAVIMENTAÇÃO EM CBUQ DA RUA PITOMBEIRAS, BAIRRO URUGUAI, ZONA URBANA DE TERESINA</t>
  </si>
  <si>
    <t>PAVIMENTAÇÃO EM PARALELEPÍPEDO NO MUNICÍPIO DE TERESINA - PI (18.537,50 M²).</t>
  </si>
  <si>
    <t>VALE QUEM TEM, DOM AVELAR, CENTRO</t>
  </si>
  <si>
    <t>LESTE, CENTRO, SUDESTE</t>
  </si>
  <si>
    <t>&lt;?xml version="1.0" encoding="UTF-8"?&gt;
&lt;kml xmlns="http://www.opengis.net/kml/2.2" xmlns:gx="http://www.google.com/kml/ext/2.2" xmlns:kml="http://www.opengis.net/kml/2.2" xmlns:atom="http://www.w3.org/2005/Atom"&gt;
&lt;Document id="document"&gt;
	&lt;name&gt;Mapa sem título&lt;/name&gt;
	&lt;gx:CascadingStyle kml:id="__managed_style_0F69B7F31E3F143BC5B1_highlight"&gt;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kml:id="__managed_style_0F69B7F31E3F143BC5B1_normal"&gt;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id="__managed_style_0F69B7F31E3F143BC5B1"&gt;
		&lt;Pair&gt;
			&lt;key&gt;normal&lt;/key&gt;
			&lt;styleUrl&gt;#__managed_style_0F69B7F31E3F143BC5B1_normal&lt;/styleUrl&gt;
		&lt;/Pair&gt;
		&lt;Pair&gt;
			&lt;key&gt;highlight&lt;/key&gt;
			&lt;styleUrl&gt;#__managed_style_0F69B7F31E3F143BC5B1_highlight&lt;/styleUrl&gt;
		&lt;/Pair&gt;
	&lt;/StyleMap&gt;
	&lt;gx:CascadingStyle kml:id="__managed_style_032841D5983F143BB644_highlight"&gt;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kml:id="__managed_style_032841D5983F143BB644_normal"&gt;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id="__managed_style_032841D5983F143BB644"&gt;
		&lt;Pair&gt;
			&lt;key&gt;normal&lt;/key&gt;
			&lt;styleUrl&gt;#__managed_style_032841D5983F143BB644_normal&lt;/styleUrl&gt;
		&lt;/Pair&gt;
		&lt;Pair&gt;
			&lt;key&gt;highlight&lt;/key&gt;
			&lt;styleUrl&gt;#__managed_style_032841D5983F143BB644_highlight&lt;/styleUrl&gt;
		&lt;/Pair&gt;
	&lt;/StyleMap&gt;
	&lt;Placemark id="08B5BAD4623F143BB601"&gt;
		&lt;name&gt;Caminho sem título&lt;/name&gt;
		&lt;LookAt&gt;
			&lt;longitude&gt;-42.68149214097464&lt;/longitude&gt;
			&lt;latitude&gt;-5.228156748572401&lt;/latitude&gt;
			&lt;altitude&gt;100.6935457796425&lt;/altitude&gt;
			&lt;heading&gt;359.9950195275289&lt;/heading&gt;
			&lt;tilt&gt;0&lt;/tilt&gt;
			&lt;gx:fovy&gt;35&lt;/gx:fovy&gt;
			&lt;range&gt;3066.966378820944&lt;/range&gt;
			&lt;altitudeMode&gt;absolute&lt;/altitudeMode&gt;
		&lt;/LookAt&gt;
		&lt;styleUrl&gt;#__managed_style_032841D5983F143BB644&lt;/styleUrl&gt;
		&lt;LineString&gt;
			&lt;coordinates&gt;
				-42.67677890524438,-5.228923183512234,0 -42.68579048171445,-5.228258582453963,0 
			&lt;/coordinates&gt;
		&lt;/LineString&gt;
	&lt;/Placemark&gt;
	&lt;Placemark id="015C2749F73F143BC5A0"&gt;
		&lt;name&gt;Marcador de local sem título&lt;/name&gt;
		&lt;LookAt&gt;
			&lt;longitude&gt;-42.68149214097464&lt;/longitude&gt;
			&lt;latitude&gt;-5.228156748572401&lt;/latitude&gt;
			&lt;altitude&gt;100.6935457796425&lt;/altitude&gt;
			&lt;heading&gt;359.9950195275289&lt;/heading&gt;
			&lt;tilt&gt;0&lt;/tilt&gt;
			&lt;gx:fovy&gt;35&lt;/gx:fovy&gt;
			&lt;range&gt;3066.966378820944&lt;/range&gt;
			&lt;altitudeMode&gt;absolute&lt;/altitudeMode&gt;
		&lt;/LookAt&gt;
		&lt;styleUrl&gt;#__managed_style_0F69B7F31E3F143BC5B1&lt;/styleUrl&gt;
		&lt;Point&gt;
			&lt;coordinates&gt;-42.685734798657,-5.228258575689179,93.24971765922078&lt;/coordinates&gt;
		&lt;/Point&gt;
	&lt;/Placemark&gt;
	&lt;Placemark id="0D0F8F40B63F143CE7D4"&gt;
		&lt;name&gt;Caminho sem título&lt;/name&gt;
		&lt;LookAt&gt;
			&lt;longitude&gt;-42.69461744291201&lt;/longitude&gt;
			&lt;latitude&gt;-4.993051809472192&lt;/latitude&gt;
			&lt;altitude&gt;130.912887744135&lt;/altitude&gt;
			&lt;heading&gt;0&lt;/heading&gt;
			&lt;tilt&gt;0&lt;/tilt&gt;
			&lt;gx:fovy&gt;35&lt;/gx:fovy&gt;
			&lt;range&gt;1559.976668845048&lt;/range&gt;
			&lt;altitudeMode&gt;absolute&lt;/altitudeMode&gt;
		&lt;/LookAt&gt;
		&lt;styleUrl&gt;#__managed_style_032841D5983F143BB644&lt;/styleUrl&gt;
		&lt;LineString&gt;
			&lt;coordinates&gt;
				-42.68996849247413,-4.994157845521345,0 -42.693922083678,-4.993627514656517,0 -42.69382676394191,-4.991724942516129,0 
			&lt;/coordinates&gt;
		&lt;/LineString&gt;
	&lt;/Placemark&gt;
	&lt;Placemark id="02B2B2C6183F143CF51C"&gt;
		&lt;name&gt;Marcador de local sem título&lt;/name&gt;
		&lt;LookAt&gt;
			&lt;longitude&gt;-42.69461744291201&lt;/longitude&gt;
			&lt;latitude&gt;-4.993051809472192&lt;/latitude&gt;
			&lt;altitude&gt;130.912887744135&lt;/altitude&gt;
			&lt;heading&gt;0&lt;/heading&gt;
			&lt;tilt&gt;0&lt;/tilt&gt;
			&lt;gx:fovy&gt;35&lt;/gx:fovy&gt;
			&lt;range&gt;1559.976668845048&lt;/range&gt;
			&lt;altitudeMode&gt;absolute&lt;/altitudeMode&gt;
		&lt;/LookAt&gt;
		&lt;styleUrl&gt;#__managed_style_0F69B7F31E3F143BC5B1&lt;/styleUrl&gt;
		&lt;Point&gt;
			&lt;coordinates&gt;-42.6938361937917,-4.99173434868137,128.3373577266304&lt;/coordinates&gt;
		&lt;/Point&gt;
	&lt;/Placemark&gt;
	&lt;Placemark id="02EA360F133F143D0534"&gt;
		&lt;name&gt;Marcador de local sem título&lt;/name&gt;
		&lt;LookAt&gt;
			&lt;longitude&gt;-42.69461744291201&lt;/longitude&gt;
			&lt;latitude&gt;-4.993051809472192&lt;/latitude&gt;
			&lt;altitude&gt;130.912887744135&lt;/altitude&gt;
			&lt;heading&gt;0&lt;/heading&gt;
			&lt;tilt&gt;0&lt;/tilt&gt;
			&lt;gx:fovy&gt;35&lt;/gx:fovy&gt;
			&lt;range&gt;1559.976668845048&lt;/range&gt;
			&lt;altitudeMode&gt;absolute&lt;/altitudeMode&gt;
		&lt;/LookAt&gt;
		&lt;styleUrl&gt;#__managed_style_0F69B7F31E3F143BC5B1&lt;/styleUrl&gt;
		&lt;Point&gt;
			&lt;coordinates&gt;-42.69392208536415,-4.993636875334099,130.9817262837077&lt;/coordinates&gt;
		&lt;/Point&gt;
	&lt;/Placemark&gt;
	&lt;Placemark id="0ED9F79A823F143E3D8C"&gt;
		&lt;name&gt;Caminho sem título&lt;/name&gt;
		&lt;LookAt&gt;
			&lt;longitude&gt;-42.73808599916661&lt;/longitude&gt;
			&lt;latitude&gt;-5.046302999282557&lt;/latitude&gt;
			&lt;altitude&gt;147.4336055657886&lt;/altitude&gt;
			&lt;heading&gt;0&lt;/heading&gt;
			&lt;tilt&gt;0&lt;/tilt&gt;
			&lt;gx:fovy&gt;35&lt;/gx:fovy&gt;
			&lt;range&gt;841.9428919047641&lt;/range&gt;
			&lt;altitudeMode&gt;absolute&lt;/altitudeMode&gt;
		&lt;/LookAt&gt;
		&lt;styleUrl&gt;#__managed_style_032841D5983F143BB644&lt;/styleUrl&gt;
		&lt;LineString&gt;
			&lt;coordinates&gt;
				-42.73810122135711,-5.046396505666401,0 -42.73773716877484,-5.044885385191512,0 
			&lt;/coordinates&gt;
		&lt;/LineString&gt;
	&lt;/Placemark&gt;
	&lt;Placemark id="0CC8C474583F143E4974"&gt;
		&lt;name&gt;Marcador de local sem título&lt;/name&gt;
		&lt;LookAt&gt;
			&lt;longitude&gt;-42.73808599916661&lt;/longitude&gt;
			&lt;latitude&gt;-5.046302999282557&lt;/latitude&gt;
			&lt;altitude&gt;147.4336055657886&lt;/altitude&gt;
			&lt;heading&gt;0&lt;/heading&gt;
			&lt;tilt&gt;0&lt;/tilt&gt;
			&lt;gx:fovy&gt;35&lt;/gx:fovy&gt;
			&lt;range&gt;841.9428919047641&lt;/range&gt;
			&lt;altitudeMode&gt;absolute&lt;/altitudeMode&gt;
		&lt;/LookAt&gt;
		&lt;styleUrl&gt;#__managed_style_0F69B7F31E3F143BC5B1&lt;/styleUrl&gt;
		&lt;Point&gt;
			&lt;coordinates&gt;-42.73809614671071,-5.046381338079939,147.1661474641697&lt;/coordinates&gt;
		&lt;/Point&gt;
	&lt;/Placemark&gt;
	&lt;Placemark id="07F263247E3F1441561E"&gt;
		&lt;name&gt;Caminho sem título&lt;/name&gt;
		&lt;LookAt&gt;
			&lt;longitude&gt;-42.65365333724382&lt;/longitude&gt;
			&lt;latitude&gt;-4.972614269508763&lt;/latitude&gt;
			&lt;altitude&gt;101.7177062965265&lt;/altitude&gt;
			&lt;heading&gt;0&lt;/heading&gt;
			&lt;tilt&gt;0&lt;/tilt&gt;
			&lt;gx:fovy&gt;35&lt;/gx:fovy&gt;
			&lt;range&gt;2993.990502001544&lt;/range&gt;
			&lt;altitudeMode&gt;absolute&lt;/altitudeMode&gt;
		&lt;/LookAt&gt;
		&lt;styleUrl&gt;#__managed_style_032841D5983F143BB644&lt;/styleUrl&gt;
		&lt;LineString&gt;
			&lt;coordinates&gt;
				-42.66146036768347,-4.971514623338267,0 -42.66002684731549,-4.971708444445063,0 -42.65922497914964,-4.972569482712406,0 -42.65208528873769,-4.972856669642811,0 -42.65181483556891,-4.973269685714451,0 
			&lt;/coordinates&gt;
		&lt;/LineString&gt;
	&lt;/Placemark&gt;
	&lt;Placemark id="073ACEE78A3F14416004"&gt;
		&lt;name&gt;Marcador de local sem título&lt;/name&gt;
		&lt;LookAt&gt;
			&lt;longitude&gt;-42.65365333724382&lt;/longitude&gt;
			&lt;latitude&gt;-4.972614269508763&lt;/latitude&gt;
			&lt;altitude&gt;101.7177062965265&lt;/altitude&gt;
			&lt;heading&gt;0&lt;/heading&gt;
			&lt;tilt&gt;0&lt;/tilt&gt;
			&lt;gx:fovy&gt;35&lt;/gx:fovy&gt;
			&lt;range&gt;2993.990502001544&lt;/range&gt;
			&lt;altitudeMode&gt;absolute&lt;/altitudeMode&gt;
		&lt;/LookAt&gt;
		&lt;styleUrl&gt;#__managed_style_0F69B7F31E3F143BC5B1&lt;/styleUrl&gt;
		&lt;Point&gt;
			&lt;coordinates&gt;-42.65181467954644,-4.973341573680368,103.2074110966288&lt;/coordinates&gt;
		&lt;/Point&gt;
	&lt;/Placemark&gt;
&lt;/Document&gt;
&lt;/kml&gt;</t>
  </si>
  <si>
    <t>REFORMA DE UMA PRAÇA NO BAIRRO VALE QUEM TEM, NA ZONA URBANA NO MUNICÍPIO DE TERESINA-PI, COM UMA ÁREA TOTAL DE 5.831,75M². CONTRATO 034/2025 - ENGEPROL - OPA</t>
  </si>
  <si>
    <t>&lt;?xml version="1.0" encoding="UTF-8"?&gt;
&lt;kml xmlns="http://www.opengis.net/kml/2.2" xmlns:gx="http://www.google.com/kml/ext/2.2" xmlns:kml="http://www.opengis.net/kml/2.2" xmlns:atom="http://www.w3.org/2005/Atom"&gt;
&lt;Document&gt;
	&lt;name&gt;ID-14620 - PRAÇA - TERESINA.kmz&lt;/name&gt;
	&lt;StyleMap id="m_ylw-pushpin0"&gt;
		&lt;Pair&gt;
			&lt;key&gt;normal&lt;/key&gt;
			&lt;styleUrl&gt;#s_ylw-pushpin0&lt;/styleUrl&gt;
		&lt;/Pair&gt;
		&lt;Pair&gt;
			&lt;key&gt;highlight&lt;/key&gt;
			&lt;styleUrl&gt;#s_ylw-pushpin_hl0&lt;/styleUrl&gt;
		&lt;/Pair&gt;
	&lt;/StyleMap&gt;
	&lt;StyleMap id="msn_ylw-pushpin"&gt;
		&lt;Pair&gt;
			&lt;key&gt;normal&lt;/key&gt;
			&lt;styleUrl&gt;#sn_ylw-pushpin&lt;/styleUrl&gt;
		&lt;/Pair&gt;
		&lt;Pair&gt;
			&lt;key&gt;highlight&lt;/key&gt;
			&lt;styleUrl&gt;#sh_ylw-pushpin&lt;/styleUrl&gt;
		&lt;/Pair&gt;
	&lt;/StyleMap&gt;
	&lt;Style id="s_ylw-pushpin0"&gt;
		&lt;IconStyle&gt;
			&lt;scale&gt;1.1&lt;/scale&gt;
			&lt;Icon&gt;
				&lt;href&gt;http://maps.google.com/mapfiles/kml/pushpin/ylw-pushpin.png&lt;/href&gt;
			&lt;/Icon&gt;
			&lt;hotSpot x="20" y="2" xunits="pixels" yunits="pixels"/&gt;
		&lt;/IconStyle&gt;
	&lt;/Style&gt;
	&lt;Style id="s_ylw-pushpin_hl0"&gt;
		&lt;IconStyle&gt;
			&lt;scale&gt;1.3&lt;/scale&gt;
			&lt;Icon&gt;
				&lt;href&gt;http://maps.google.com/mapfiles/kml/pushpin/ylw-pushpin.png&lt;/href&gt;
			&lt;/Icon&gt;
			&lt;hotSpot x="20" y="2" xunits="pixels" yunits="pixels"/&gt;
		&lt;/IconStyle&gt;
	&lt;/Style&gt;
	&lt;Style id="sh_ylw-pushpin"&gt;
		&lt;IconStyle&gt;
			&lt;scale&gt;1.3&lt;/scale&gt;
			&lt;Icon&gt;
				&lt;href&gt;http://maps.google.com/mapfiles/kml/pushpin/ylw-pushpin.png&lt;/href&gt;
			&lt;/Icon&gt;
			&lt;hotSpot x="20" y="2" xunits="pixels" yunits="pixels"/&gt;
		&lt;/IconStyle&gt;
		&lt;BalloonStyle&gt;
		&lt;/BalloonStyle&gt;
		&lt;LineStyle&gt;
			&lt;width&gt;3&lt;/width&gt;
		&lt;/LineStyle&gt;
	&lt;/Style&gt;
	&lt;Style id="sn_ylw-pushpin"&gt;
		&lt;IconStyle&gt;
			&lt;scale&gt;1.1&lt;/scale&gt;
			&lt;Icon&gt;
				&lt;href&gt;http://maps.google.com/mapfiles/kml/pushpin/ylw-pushpin.png&lt;/href&gt;
			&lt;/Icon&gt;
			&lt;hotSpot x="20" y="2" xunits="pixels" yunits="pixels"/&gt;
		&lt;/IconStyle&gt;
		&lt;BalloonStyle&gt;
		&lt;/BalloonStyle&gt;
		&lt;LineStyle&gt;
			&lt;width&gt;3&lt;/width&gt;
		&lt;/LineStyle&gt;
	&lt;/Style&gt;
	&lt;Folder&gt;
		&lt;name&gt;ID-14620 - PRAÇA - TERESINA&lt;/name&gt;
		&lt;open&gt;1&lt;/open&gt;
		&lt;Placemark&gt;
			&lt;name&gt;ID-14620 - PRAÇA - TERESINA&lt;/name&gt;
			&lt;LookAt&gt;
				&lt;longitude&gt;-42.7455794358841&lt;/longitude&gt;
				&lt;latitude&gt;-5.051626240335089&lt;/latitude&gt;
				&lt;altitude&gt;0&lt;/altitude&gt;
				&lt;heading&gt;1.282162925759108e-05&lt;/heading&gt;
				&lt;tilt&gt;35.37226294556829&lt;/tilt&gt;
				&lt;range&gt;383.4930487441053&lt;/range&gt;
				&lt;gx:altitudeMode&gt;relativeToSeaFloor&lt;/gx:altitudeMode&gt;
			&lt;/LookAt&gt;
			&lt;styleUrl&gt;#m_ylw-pushpin0&lt;/styleUrl&gt;
			&lt;Point&gt;
				&lt;gx:drawOrder&gt;1&lt;/gx:drawOrder&gt;
				&lt;coordinates&gt;-42.7457023203217,-5.05199421352484,0&lt;/coordinates&gt;
			&lt;/Point&gt;
		&lt;/Placemark&gt;
		&lt;Placemark&gt;
			&lt;name&gt;ID-14620 - PRAÇA - TERESINA&lt;/name&gt;
			&lt;styleUrl&gt;#msn_ylw-pushpin&lt;/styleUrl&gt;
			&lt;LineString&gt;
				&lt;tessellate&gt;1&lt;/tessellate&gt;
				&lt;coordinates&gt;
					-42.74555646492195,-5.051340255519849,0 -42.74551308681461,-5.05257011223889,0 -42.74585981056338,-5.052589232575684,0 -42.74589001250533,-5.051406714203828,0 -42.74555646492195,-5.051340255519849,0 
				&lt;/coordinates&gt;
			&lt;/LineString&gt;
		&lt;/Placemark&gt;
		&lt;atom:link rel="app" href="https://www.google.com/earth/about/versions/#earth-pro" title="Google Earth Pro 7.3.6.10201"&gt;&lt;/atom:link&gt;
	&lt;/Folder&gt;
&lt;/Document&gt;
&lt;/kml&gt;</t>
  </si>
  <si>
    <t>CONSTRUÇÃO DE PRAÇA COM AREA DE 522,93 M² NO BAIRRO JARDIM DO VALE, ZONA LESTE DO MUNICIPIO DE TERESINA-PI. CONT. 47/2024 - LAURITA</t>
  </si>
  <si>
    <t>&lt;?xml version="1.0" encoding="UTF-8"?&gt;
&lt;kml xmlns="http://www.opengis.net/kml/2.2" xmlns:gx="http://www.google.com/kml/ext/2.2" xmlns:kml="http://www.opengis.net/kml/2.2" xmlns:atom="http://www.w3.org/2005/Atom"&gt;
&lt;Document&gt;
	&lt;name&gt;PRAÇA, BAIRRO JARDIM DO VALE, TERESINA-PI.kmz&lt;/name&gt;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&lt;name&gt;PRAÇA, BAIRRO JARDIM DO VALE, TERESINA-PI&lt;/name&gt;
		&lt;LookAt&gt;
			&lt;longitude&gt;-42.73718504234395&lt;/longitude&gt;
			&lt;latitude&gt;-5.041679557168113&lt;/latitude&gt;
			&lt;altitude&gt;0&lt;/altitude&gt;
			&lt;heading&gt;-177.9308487925681&lt;/heading&gt;
			&lt;tilt&gt;0&lt;/tilt&gt;
			&lt;range&gt;96.24403643302102&lt;/range&gt;
			&lt;gx:altitudeMode&gt;relativeToSeaFloor&lt;/gx:altitudeMode&gt;
		&lt;/LookAt&gt;
		&lt;styleUrl&gt;#m_ylw-pushpin&lt;/styleUrl&gt;
		&lt;Point&gt;
			&lt;gx:drawOrder&gt;1&lt;/gx:drawOrder&gt;
			&lt;coordinates&gt;-42.73712743846696,-5.041815184771457,0&lt;/coordinates&gt;
		&lt;/Point&gt;
		&lt;atom:link rel="app" href="https://www.google.com/earth/about/versions/#earth-pro" title="Google Earth Pro 7.3.6.10441"&gt;&lt;/atom:link&gt;
	&lt;/Placemark&gt;
&lt;/Document&gt;
&lt;/kml&gt;</t>
  </si>
  <si>
    <t>OPA ID 473 (2024/2025) - CONSTRUÇÃO DE VIDEOTECA NO PARQUE MÃO SANTA,BAIRRO VALE QUEM TEM, TERESINA - PI</t>
  </si>
  <si>
    <t>PAVIMENTAÇÃO EM PARALELEPÍPEDO DE VIAS PÚBLICAS NA ZONA URBANA E RURAL DO MUNICÍPIO DE TERESINA/PI, COM ÁREA DE 1.920,00M²</t>
  </si>
  <si>
    <t>VERDE CAP</t>
  </si>
  <si>
    <t>REFORMA E MODERNIZAÇÃO DO IMÓVEL ONDE FUNCIONA O PRÉDIO SEDE DA SECRETARIA DA FAZENDA DO ESTADO DO PIAUÍ</t>
  </si>
  <si>
    <t>&lt;?xml version="1.0" encoding="UTF-8"?&gt;
&lt;kml xmlns="http://www.opengis.net/kml/2.2" xmlns:gx="http://www.google.com/kml/ext/2.2" xmlns:kml="http://www.opengis.net/kml/2.2" xmlns:atom="http://www.w3.org/2005/Atom"&gt;
&lt;Document id="document"&gt;
	&lt;name&gt;Mapa sem título&lt;/name&gt;
	&lt;gx:CascadingStyle kml:id="__managed_style_054AF7C5163F13F219A0_highlight"&gt;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kml:id="__managed_style_054AF7C5163F13F219A0_normal"&gt;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id="__managed_style_054AF7C5163F13F219A0"&gt;
		&lt;Pair&gt;
			&lt;key&gt;normal&lt;/key&gt;
			&lt;styleUrl&gt;#__managed_style_054AF7C5163F13F219A0_normal&lt;/styleUrl&gt;
		&lt;/Pair&gt;
		&lt;Pair&gt;
			&lt;key&gt;highlight&lt;/key&gt;
			&lt;styleUrl&gt;#__managed_style_054AF7C5163F13F219A0_highlight&lt;/styleUrl&gt;
		&lt;/Pair&gt;
	&lt;/StyleMap&gt;
	&lt;Placemark id="0638FD6B133F13F9CA57"&gt;
		&lt;gx:mid&gt;/g/11b6b2fxtg&lt;/gx:mid&gt;
		&lt;gx:fid&gt;0x78e3741d1ba56e7:0x8df6508028234a2f&lt;/gx:fid&gt;
		&lt;LookAt&gt;
			&lt;longitude&gt;-42.81238459999999&lt;/longitude&gt;
			&lt;latitude&gt;-5.1107043&lt;/latitude&gt;
			&lt;altitude&gt;0&lt;/altitude&gt;
			&lt;heading&gt;0&lt;/heading&gt;
			&lt;tilt&gt;0&lt;/tilt&gt;
			&lt;gx:fovy&gt;35&lt;/gx:fovy&gt;
			&lt;range&gt;1051.840433636043&lt;/range&gt;
			&lt;altitudeMode&gt;relativeToGround&lt;/altitudeMode&gt;
		&lt;/LookAt&gt;
		&lt;styleUrl&gt;#__managed_style_054AF7C5163F13F219A0&lt;/styleUrl&gt;
		&lt;Point&gt;
			&lt;altitudeMode&gt;relativeToGround&lt;/altitudeMode&gt;
			&lt;coordinates&gt;-42.8123846,-5.1107043,0&lt;/coordinates&gt;
		&lt;/Point&gt;
	&lt;/Placemark&gt;
&lt;/Document&gt;
&lt;/kml&gt;</t>
  </si>
  <si>
    <t>OPA ID 417 - CONTRATAÇÃO DE EMPRESA DE ENGENHARIA PARA IMPLANTAÇÃO DE VIDEOTECA NA VILA BANDEIRANTES 3 TERESINA-PI (OPA 2023 - 2024)</t>
  </si>
  <si>
    <t>VILA BANDEIRANTES</t>
  </si>
  <si>
    <t>OPA - ID 392 - CONTRATAÇÃO DE EMPRESA DE ENGENHARIA PARA BIBLIOTECA E ESPAÇO CULTURAL NA VILA IRMÃ DULCE (2023-2024)</t>
  </si>
  <si>
    <t>PAVIMENTAÇÃO EM PARALELEPÍPEDO DE VIAS NA LOCALIDADE VILA IRMÃ DULCE NO MUNICÍPIO DE TERESINA/PI, COM ÁREA DE 2.883,00M²</t>
  </si>
  <si>
    <t>PAVIMENTAÇÃO DE 3.900,00 M² VIAS EM PARALELEPÍPEDO NO MUNICÍPIO DE TERESINA (PI)</t>
  </si>
  <si>
    <t>PAVIMENTAÇÃO DE 7.200,00 M² VIAS EM PARALELEPÍPEDO NO MUNICÍPIO DE TERESINA (PI)</t>
  </si>
  <si>
    <t>VILA IRMÃ DULCE, CERÂMICA CIL</t>
  </si>
  <si>
    <t>SUL,  RURAL</t>
  </si>
  <si>
    <t>OPA ID 402 - CONTRATAÇÃO DE EMPRESA DE ENGENHARIA PARA CONSTRUÇÃO POLO ARTESANAL VILA RISOLETA NEVES TERESINA-PI (OPA 2023 - 2024)</t>
  </si>
  <si>
    <t>VILA RISOLETA NEVES</t>
  </si>
  <si>
    <t>IMPLANTAÇÃO DE SISTEMA SIMPLIFICADO DE ABASTECIMENTO DE ÁGUA NA LOCALIDADE GUARUPÁ, ZONA RURAL DE TERESINA -PI</t>
  </si>
  <si>
    <t>RECUPERAÇÃO DE ESTRADA VICINAL NA ZONA RURAL DO 
 MUNICÍPIO DE TERESINA-PI, EXTENSÃO TOTAL DE 5,50KM</t>
  </si>
  <si>
    <t>PAVIMENTAÇÃO EM PARALELEPIPEDO COM EXTENSÃO DE 2.800,00 M², POVOADO TORRÕES, ZONA RURAL DO MUNICIPIO DE TERESINA-PI. CONT. 44/2024 - JL</t>
  </si>
  <si>
    <t>PAVIMENTAÇÃO EM PARALELEPÍPEDO MUNICÍPIO: TERESINA – PI LOCAL: ASSEN. NOSSA SENHORA DA PAZ ASSEN. 13 DE MARÇO II POVOADO SOTURNO (ZONA RURAL) ▪ ÁREA TOTAL: 2.796,00 M²</t>
  </si>
  <si>
    <t>PAVIMENTAÇÃO EM PARALELEPÍPEDO NA COMUNIDADE SANTA RITA, ZONA RURAL DE TERESINA/PI, COM ÁREA DE 7.538,34 M², CONTRATO 27/2023- LUIS ALMEIDA.</t>
  </si>
  <si>
    <t>PAVIMENTAÇÃO EM PARALELEPÍPEDOS NA RUA JOANA ALVES, LOCALIZADA NA ZONA RURAL DO MUNICÍPIO DE TERESINA, PIAUÍ. ÁREA ÁREA TOTAL 11.334,00 M²</t>
  </si>
  <si>
    <t>CONSTRUÇÃO DE POÇO TUBULAR NA ZONA RURAL COMUNIDADE GESSY FALCÃO NO MUNICÍPIO DE TERESINA - PI</t>
  </si>
  <si>
    <t>PAVIMENTAÇÃO EM PARALELEPÍPEDO DE VIAS NA LOCALIDADE TABOCA DO PAU FERRADO, NO MUNICÍPIO DE TERESINA - PI, ÁREA 1.170,00 M²</t>
  </si>
  <si>
    <t>CONSTRUÇÃO DE POÇO TUBULAR NA ZONA RURAL COMUNIDADE ÁRVORES VERDES MUNICÍPIO DE TERESINA - PI</t>
  </si>
  <si>
    <t>SAF</t>
  </si>
  <si>
    <t>CONSTRUÇÃO DE 01 VIVEIRO DE MUDAS DE CAJU ANÃO NO ASSENTAMENTO NOVO MUNDO NA ZONA RURAL DE TERESINA - PRÓ PIAUÍ - CÂMARA SETORIAL DA CAJUCULTURA</t>
  </si>
  <si>
    <t>ASSENTAMENTO NOVO MUNDO</t>
  </si>
  <si>
    <t>&lt;?xml version="1.0" encoding="UTF-8"?&gt;
&lt;kml xmlns="http://www.opengis.net/kml/2.2" xmlns:gx="http://www.google.com/kml/ext/2.2" xmlns:kml="http://www.opengis.net/kml/2.2" xmlns:atom="http://www.w3.org/2005/Atom"&gt;
&lt;Document&gt;
	&lt;name&gt;viveiro de mudas.kmz&lt;/name&gt;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&lt;name&gt;viveiro de mudas&lt;/name&gt;
		&lt;LookAt&gt;
			&lt;gx:TimeStamp&gt;&lt;when&gt;2021-10-13T10:44:56Z&lt;/when&gt;
&lt;/gx:TimeStamp&gt;
			&lt;longitude&gt;-42.67021227454086&lt;/longitude&gt;
			&lt;latitude&gt;-5.007383622878308&lt;/latitude&gt;
			&lt;altitude&gt;0&lt;/altitude&gt;
			&lt;heading&gt;0.003294532036318179&lt;/heading&gt;
			&lt;tilt&gt;22.54311589571399&lt;/tilt&gt;
			&lt;range&gt;77877.36486257367&lt;/range&gt;
			&lt;gx:altitudeMode&gt;relativeToSeaFloor&lt;/gx:altitudeMode&gt;
		&lt;/LookAt&gt;
		&lt;styleUrl&gt;#m_ylw-pushpin&lt;/styleUrl&gt;
		&lt;Point&gt;
			&lt;gx:drawOrder&gt;1&lt;/gx:drawOrder&gt;
			&lt;coordinates&gt;-42.74972222222222,-4.952222222222223,0&lt;/coordinates&gt;
		&lt;/Point&gt;
		&lt;atom:link rel="app" href="https://www.google.com/earth/about/versions/#earth-pro" title="Google Earth Pro 7.3.6.10201"&gt;&lt;/atom:link&gt;
	&lt;/Placemark&gt;
&lt;/Document&gt;
&lt;/kml&gt;</t>
  </si>
  <si>
    <t>SISTEMA DE ABASTECIMENTO SIMPLIFICADO DE AGUA NO MUNICIPIO DE TERESINA-PI 166/2024</t>
  </si>
  <si>
    <t>CHAPADINHA SUL, CAMPESTRE, ASSENTAMENTO ALTO BONITO, ANÁJAS</t>
  </si>
  <si>
    <t>&lt;?xml version="1.0" encoding="UTF-8"?&gt;
&lt;kml xmlns="http://www.opengis.net/kml/2.2" xmlns:gx="http://www.google.com/kml/ext/2.2" xmlns:kml="http://www.opengis.net/kml/2.2" xmlns:atom="http://www.w3.org/2005/Atom"&gt;
&lt;Document&gt;
	&lt;name&gt;14100.kmz&lt;/name&gt;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&lt;Folder&gt;
		&lt;name&gt;14100&lt;/name&gt;
		&lt;open&gt;1&lt;/open&gt;
		&lt;Placemark&gt;
			&lt;LookAt&gt;
				&lt;longitude&gt;-42.83765454033679&lt;/longitude&gt;
				&lt;latitude&gt;-5.116844174530586&lt;/latitude&gt;
				&lt;altitude&gt;0&lt;/altitude&gt;
				&lt;heading&gt;0.01085496750325927&lt;/heading&gt;
				&lt;tilt&gt;0&lt;/tilt&gt;
				&lt;range&gt;29867.29320119883&lt;/range&gt;
				&lt;gx:altitudeMode&gt;relativeToSeaFloor&lt;/gx:altitudeMode&gt;
			&lt;/LookAt&gt;
			&lt;styleUrl&gt;#m_ylw-pushpin&lt;/styleUrl&gt;
			&lt;Point&gt;
				&lt;gx:drawOrder&gt;1&lt;/gx:drawOrder&gt;
				&lt;coordinates&gt;-42.72119444444445,-5.311111111111111,0&lt;/coordinates&gt;
			&lt;/Point&gt;
		&lt;/Placemark&gt;
		&lt;Placemark&gt;
			&lt;LookAt&gt;
				&lt;longitude&gt;-42.72219386089007&lt;/longitude&gt;
				&lt;latitude&gt;-5.307270397770033&lt;/latitude&gt;
				&lt;altitude&gt;0&lt;/altitude&gt;
				&lt;heading&gt;0.0006080462794983873&lt;/heading&gt;
				&lt;tilt&gt;8.721133242717347&lt;/tilt&gt;
				&lt;range&gt;1324.605809354007&lt;/range&gt;
				&lt;gx:altitudeMode&gt;relativeToSeaFloor&lt;/gx:altitudeMode&gt;
			&lt;/LookAt&gt;
			&lt;styleUrl&gt;#m_ylw-pushpin&lt;/styleUrl&gt;
			&lt;Point&gt;
				&lt;gx:drawOrder&gt;1&lt;/gx:drawOrder&gt;
				&lt;coordinates&gt;-42.75602777777778,-4.885166666666666,0&lt;/coordinates&gt;
			&lt;/Point&gt;
		&lt;/Placemark&gt;
		&lt;Placemark&gt;
			&lt;LookAt&gt;
				&lt;longitude&gt;-42.76245676236732&lt;/longitude&gt;
				&lt;latitude&gt;-4.893133674231128&lt;/latitude&gt;
				&lt;altitude&gt;0&lt;/altitude&gt;
				&lt;heading&gt;0.003073953937727951&lt;/heading&gt;
				&lt;tilt&gt;9.577161114947339&lt;/tilt&gt;
				&lt;range&gt;7947.144316739625&lt;/range&gt;
				&lt;gx:altitudeMode&gt;relativeToSeaFloor&lt;/gx:altitudeMode&gt;
			&lt;/LookAt&gt;
			&lt;styleUrl&gt;#m_ylw-pushpin&lt;/styleUrl&gt;
			&lt;Point&gt;
				&lt;gx:drawOrder&gt;1&lt;/gx:drawOrder&gt;
				&lt;coordinates&gt;-42.59977777777778,-5.148583333333334,0&lt;/coordinates&gt;
			&lt;/Point&gt;
		&lt;/Placemark&gt;
		&lt;Placemark&gt;
			&lt;LookAt&gt;
				&lt;longitude&gt;-42.76245676236732&lt;/longitude&gt;
				&lt;latitude&gt;-4.893133674231128&lt;/latitude&gt;
				&lt;altitude&gt;0&lt;/altitude&gt;
				&lt;heading&gt;0.003073953937727951&lt;/heading&gt;
				&lt;tilt&gt;9.577161114947339&lt;/tilt&gt;
				&lt;range&gt;7947.144316739625&lt;/range&gt;
				&lt;gx:altitudeMode&gt;relativeToSeaFloor&lt;/gx:altitudeMode&gt;
			&lt;/LookAt&gt;
			&lt;styleUrl&gt;#m_ylw-pushpin&lt;/styleUrl&gt;
			&lt;Point&gt;
				&lt;gx:drawOrder&gt;1&lt;/gx:drawOrder&gt;
				&lt;coordinates&gt;-42.75538888888889,-4.9415,0&lt;/coordinates&gt;
			&lt;/Point&gt;
		&lt;/Placemark&gt;
		&lt;atom:link rel="app" href="https://www.google.com/earth/about/versions/#earth-pro" title="Google Earth Pro 7.3.6.10201"&gt;&lt;/atom:link&gt;
	&lt;/Folder&gt;
&lt;/Document&gt;
&lt;/kml&gt;</t>
  </si>
  <si>
    <t>EXECUÇÃO DA PAVIMENTAÇÃO EM PARALELEPÍPEDO NO POVOADO SÃO VICENTE DE CIMA, NO MUNICÍPIO DE TERESINA</t>
  </si>
  <si>
    <t>SÃO VICENTE DE CIMA</t>
  </si>
  <si>
    <t>&lt;?xml version="1.0" encoding="UTF-8"?&gt;
&lt;kml xmlns="http://www.opengis.net/kml/2.2" xmlns:gx="http://www.google.com/kml/ext/2.2" xmlns:kml="http://www.opengis.net/kml/2.2" xmlns:atom="http://www.w3.org/2005/Atom"&gt;
&lt;Document&gt;
	&lt;name&gt;dfdfdf.kml&lt;/name&gt;
	&lt;StyleMap id="msn_ylw-pushpin"&gt;
		&lt;Pair&gt;
			&lt;key&gt;normal&lt;/key&gt;
			&lt;styleUrl&gt;#sn_ylw-pushpin&lt;/styleUrl&gt;
		&lt;/Pair&gt;
		&lt;Pair&gt;
			&lt;key&gt;highlight&lt;/key&gt;
			&lt;styleUrl&gt;#sh_ylw-pushpin&lt;/styleUrl&gt;
		&lt;/Pair&gt;
	&lt;/StyleMap&gt;
	&lt;Style id="sh_ylw-pushpin"&gt;
		&lt;IconStyle&gt;
			&lt;scale&gt;1.3&lt;/scale&gt;
			&lt;Icon&gt;
				&lt;href&gt;http://maps.google.com/mapfiles/kml/pushpin/ylw-pushpin.png&lt;/href&gt;
			&lt;/Icon&gt;
			&lt;hotSpot x="20" y="2" xunits="pixels" yunits="pixels"/&gt;
		&lt;/IconStyle&gt;
		&lt;BalloonStyle&gt;
		&lt;/BalloonStyle&gt;
		&lt;LineStyle&gt;
			&lt;width&gt;10&lt;/width&gt;
		&lt;/LineStyle&gt;
	&lt;/Style&gt;
	&lt;Style id="sn_ylw-pushpin"&gt;
		&lt;IconStyle&gt;
			&lt;scale&gt;1.1&lt;/scale&gt;
			&lt;Icon&gt;
				&lt;href&gt;http://maps.google.com/mapfiles/kml/pushpin/ylw-pushpin.png&lt;/href&gt;
			&lt;/Icon&gt;
			&lt;hotSpot x="20" y="2" xunits="pixels" yunits="pixels"/&gt;
		&lt;/IconStyle&gt;
		&lt;BalloonStyle&gt;
		&lt;/BalloonStyle&gt;
		&lt;LineStyle&gt;
			&lt;width&gt;10&lt;/width&gt;
		&lt;/LineStyle&gt;
	&lt;/Style&gt;
	&lt;Placemark&gt;
		&lt;name&gt;dfdfdf&lt;/name&gt;
		&lt;styleUrl&gt;#msn_ylw-pushpin&lt;/styleUrl&gt;
		&lt;LineString&gt;
			&lt;tessellate&gt;1&lt;/tessellate&gt;
			&lt;coordinates&gt;
				-42.79278115657363,-4.909367152103056,0 -42.79429308947711,-4.910013724363971,0 -42.79441175377885,-4.910359086451924,0 -42.7952128347304,-4.912774374784865,0 -42.79459827877975,-4.913033671605585,0 -42.7938302237372,-4.910629508986047,0 -42.79438988817868,-4.910401467238636,0 -42.79383789513621,-4.91059793650188,0 -42.79265414134463,-4.910075207515504,0 
			&lt;/coordinates&gt;
		&lt;/LineString&gt;
		&lt;atom:link rel="app" href="https://www.google.com/earth/about/versions/#earth-pro" title="Google Earth Pro 7.3.7.1155"&gt;&lt;/atom:link&gt;
	&lt;/Placemark&gt;
&lt;/Document&gt;
&lt;/kml&gt;</t>
  </si>
  <si>
    <t>PAVIMENTAÇÃO EM PARALELEPÍPEDO NA ZONA RURAL DE TERESINA, COM 7832,64 M2</t>
  </si>
  <si>
    <t>&lt;?xml version="1.0" encoding="UTF-8"?&gt;
&lt;kml xmlns="http://www.opengis.net/kml/2.2" xmlns:gx="http://www.google.com/kml/ext/2.2" xmlns:kml="http://www.opengis.net/kml/2.2" xmlns:atom="http://www.w3.org/2005/Atom"&gt;
&lt;Document&gt;
	&lt;name&gt;PAVIMENTAÇÃO EM PARALELEPÍPEDO NA ZONA RURAL DE TERESINA, COM 7832,64 M2.kml&lt;/name&gt;
	&lt;StyleMap id="msn_ylw-pushpin"&gt;
		&lt;Pair&gt;
			&lt;key&gt;normal&lt;/key&gt;
			&lt;styleUrl&gt;#sn_ylw-pushpin&lt;/styleUrl&gt;
		&lt;/Pair&gt;
		&lt;Pair&gt;
			&lt;key&gt;highlight&lt;/key&gt;
			&lt;styleUrl&gt;#sh_ylw-pushpin&lt;/styleUrl&gt;
		&lt;/Pair&gt;
	&lt;/StyleMap&gt;
	&lt;Style id="sh_ylw-pushpin"&gt;
		&lt;IconStyle&gt;
			&lt;scale&gt;1.3&lt;/scale&gt;
			&lt;Icon&gt;
				&lt;href&gt;http://maps.google.com/mapfiles/kml/pushpin/ylw-pushpin.png&lt;/href&gt;
			&lt;/Icon&gt;
			&lt;hotSpot x="20" y="2" xunits="pixels" yunits="pixels"/&gt;
		&lt;/IconStyle&gt;
		&lt;BalloonStyle&gt;
		&lt;/BalloonStyle&gt;
		&lt;LineStyle&gt;
			&lt;width&gt;10&lt;/width&gt;
		&lt;/LineStyle&gt;
	&lt;/Style&gt;
	&lt;Style id="sn_ylw-pushpin"&gt;
		&lt;IconStyle&gt;
			&lt;scale&gt;1.1&lt;/scale&gt;
			&lt;Icon&gt;
				&lt;href&gt;http://maps.google.com/mapfiles/kml/pushpin/ylw-pushpin.png&lt;/href&gt;
			&lt;/Icon&gt;
			&lt;hotSpot x="20" y="2" xunits="pixels" yunits="pixels"/&gt;
		&lt;/IconStyle&gt;
		&lt;BalloonStyle&gt;
		&lt;/BalloonStyle&gt;
		&lt;LineStyle&gt;
			&lt;width&gt;10&lt;/width&gt;
		&lt;/LineStyle&gt;
	&lt;/Style&gt;
	&lt;Placemark&gt;
		&lt;name&gt;PAVIMENTAÇÃO EM PARALELEPÍPEDO NA ZONA RURAL DE TERESINA, COM 7832,64 M2&lt;/name&gt;
		&lt;styleUrl&gt;#msn_ylw-pushpin&lt;/styleUrl&gt;
		&lt;LineString&gt;
			&lt;tessellate&gt;1&lt;/tessellate&gt;
			&lt;coordinates&gt;
				-42.69974898908644,-5.002020728426717,0 -42.69936636863491,-5.004135882835755,0 -42.69900581226091,-5.006518399638192,0 -42.70069716288251,-5.006905318644295,0 -42.69784934273287,-5.006336020836635,0 -42.69730085916723,-5.006255539482209,0 -42.69787463462335,-5.003953880358236,0 -42.69787367343564,-5.002439164544394,0 
			&lt;/coordinates&gt;
		&lt;/LineString&gt;
		&lt;atom:link rel="app" href="https://www.google.com/earth/about/versions/#earth-pro" title="Google Earth Pro 7.3.7.1155"&gt;&lt;/atom:link&gt;
	&lt;/Placemark&gt;
&lt;/Document&gt;
&lt;/kml&gt;</t>
  </si>
  <si>
    <t>EXECUÇÃO DOS SERVIÇOS DE IMPLANTAÇÃO DE 01 (UM) BUEIRO TUBULAR PARA DRENAGEM PLUVIAL NA LOCALIDADE CAJAZEIRAS, NO MUNICÍPIO DE TERESINA - PI.</t>
  </si>
  <si>
    <t>CAJAZEIRAS</t>
  </si>
  <si>
    <t>&lt;?xml version="1.0" encoding="UTF-8"?&gt;
&lt;kml xmlns="http://www.opengis.net/kml/2.2" xmlns:gx="http://www.google.com/kml/ext/2.2" xmlns:kml="http://www.opengis.net/kml/2.2" xmlns:atom="http://www.w3.org/2005/Atom"&gt;
&lt;Document id="document"&gt;
	&lt;name&gt;EXECUÇÃO DOS SERVIÇOS DE IMPLANTAÇÃO DE 01 (UM) BUEIRO TUBULAR PARA DRENAGEM PLUVIAL NA LOCALIDADE CAJAZEIRAS, NO MUNICÍPIO DE TERESINA - PI.&lt;/name&gt;
	&lt;gx:CascadingStyle kml:id="__managed_style_0C0750EB993F14136C5C_highlight"&gt;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kml:id="__managed_style_0C0750EB993F14136C5C_normal"&gt;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id="__managed_style_0C0750EB993F14136C5C"&gt;
		&lt;Pair&gt;
			&lt;key&gt;normal&lt;/key&gt;
			&lt;styleUrl&gt;#__managed_style_0C0750EB993F14136C5C_normal&lt;/styleUrl&gt;
		&lt;/Pair&gt;
		&lt;Pair&gt;
			&lt;key&gt;highlight&lt;/key&gt;
			&lt;styleUrl&gt;#__managed_style_0C0750EB993F14136C5C_highlight&lt;/styleUrl&gt;
		&lt;/Pair&gt;
	&lt;/StyleMap&gt;
	&lt;GroundOverlay id="0339183A1C3F14168A8C"&gt;
		&lt;name&gt;Área político-administrativa (nível 2)&lt;/name&gt;
		&lt;LookAt&gt;
			&lt;longitude&gt;-105&lt;/longitude&gt;
			&lt;latitude&gt;44&lt;/latitude&gt;
			&lt;altitude&gt;0&lt;/altitude&gt;
			&lt;heading&gt;0&lt;/heading&gt;
			&lt;tilt&gt;0&lt;/tilt&gt;
			&lt;gx:fovy&gt;30&lt;/gx:fovy&gt;
			&lt;range&gt;10000000&lt;/range&gt;
			&lt;altitudeMode&gt;absolute&lt;/altitudeMode&gt;
		&lt;/LookAt&gt;
		&lt;styleUrl&gt;#__managed_style_0C0750EB993F14136C5C&lt;/styleUrl&gt;
		&lt;drawOrder&gt;5&lt;/drawOrder&gt;
		&lt;Icon&gt;
			&lt;href&gt;data:image/gif;base64,R0lGODlhAQABAIAAAP///wAAACH5BAEAAAAALAAAAAABAAEAAAICRAEAOw==&lt;/href&gt;
		&lt;/Icon&gt;
		&lt;LatLonBox&gt;
			&lt;north&gt;85&lt;/north&gt;
			&lt;south&gt;-85&lt;/south&gt;
			&lt;east&gt;180&lt;/east&gt;
			&lt;west&gt;-180&lt;/west&gt;
		&lt;/LatLonBox&gt;
		&lt;gx:MapTilePyramid&gt;
			&lt;Link&gt;
				&lt;href&gt;earthdatalayer:0:CAESJDkyNTU4MzMwLTM4ZmQtNDQxNC1hNTI4LTk2M2Y1NzYwMmQ1Ng&lt;/href&gt;
			&lt;/Link&gt;
			&lt;gx:minLevel&gt;0&lt;/gx:minLevel&gt;
			&lt;gx:maxLevel&gt;22&lt;/gx:maxLevel&gt;
		&lt;/gx:MapTilePyramid&gt;
	&lt;/GroundOverlay&gt;
	&lt;Placemark id="02E6A8B1433F141BDB46"&gt;
		&lt;name&gt;4°54&amp;apos;01.0&amp;quot;S 42°48&amp;apos;45.0&amp;quot;W&lt;/name&gt;
		&lt;LookAt&gt;
			&lt;longitude&gt;-42.8125&lt;/longitude&gt;
			&lt;latitude&gt;-4.9002778&lt;/latitude&gt;
			&lt;altitude&gt;0&lt;/altitude&gt;
			&lt;heading&gt;0&lt;/heading&gt;
			&lt;tilt&gt;0&lt;/tilt&gt;
			&lt;gx:fovy&gt;35&lt;/gx:fovy&gt;
			&lt;range&gt;1052.219271872082&lt;/range&gt;
			&lt;altitudeMode&gt;relativeToGround&lt;/altitudeMode&gt;
		&lt;/LookAt&gt;
		&lt;styleUrl&gt;#__managed_style_0C0750EB993F14136C5C&lt;/styleUrl&gt;
		&lt;Point&gt;
			&lt;extrude&gt;1&lt;/extrude&gt;
			&lt;coordinates&gt;-42.8125,-4.9002778,0&lt;/coordinates&gt;
		&lt;/Point&gt;
	&lt;/Placemark&gt;
&lt;/Document&gt;
&lt;/kml&gt;</t>
  </si>
  <si>
    <t>PAVIMENTAÇÃO EM PARALELEPÍPEDO DE 1.800,00 M² DE RUAS NO POVOADO SERRA DO GAVIÃO NO MUNICÍPIO DE TERESINA- PI</t>
  </si>
  <si>
    <t>CAJAZEIRAS, SERRA DO GAVIÃO, CAMPESTRE, COMUNIDADE ANAJÁS, ASSENTAMENTO ALTO BONITO</t>
  </si>
  <si>
    <t>&lt;?xml version="1.0" encoding="UTF-8"?&gt;
&lt;kml xmlns="http://www.opengis.net/kml/2.2" xmlns:gx="http://www.google.com/kml/ext/2.2" xmlns:kml="http://www.opengis.net/kml/2.2" xmlns:atom="http://www.w3.org/2005/Atom"&gt;
&lt;Document&gt;
	&lt;name&gt;TRECHO SERRA DO GAVIÃO.kml&lt;/name&gt;
	&lt;Style id="inline"&gt;
		&lt;LineStyle&gt;
			&lt;color&gt;ff0000ff&lt;/color&gt;
			&lt;width&gt;6&lt;/width&gt;
		&lt;/LineStyle&gt;
		&lt;PolyStyle&gt;
			&lt;fill&gt;0&lt;/fill&gt;
		&lt;/PolyStyle&gt;
	&lt;/Style&gt;
	&lt;Style id="inline0"&gt;
		&lt;LineStyle&gt;
			&lt;color&gt;ff0000ff&lt;/color&gt;
			&lt;width&gt;6&lt;/width&gt;
		&lt;/LineStyle&gt;
		&lt;PolyStyle&gt;
			&lt;fill&gt;0&lt;/fill&gt;
		&lt;/PolyStyle&gt;
	&lt;/Style&gt;
	&lt;StyleMap id="inline1"&gt;
		&lt;Pair&gt;
			&lt;key&gt;normal&lt;/key&gt;
			&lt;styleUrl&gt;#inline&lt;/styleUrl&gt;
		&lt;/Pair&gt;
		&lt;Pair&gt;
			&lt;key&gt;highlight&lt;/key&gt;
			&lt;styleUrl&gt;#inline0&lt;/styleUrl&gt;
		&lt;/Pair&gt;
	&lt;/StyleMap&gt;
	&lt;Placemark&gt;
		&lt;name&gt;TRECHO SERRA DO GAVIÃO&lt;/name&gt;
		&lt;styleUrl&gt;#inline1&lt;/styleUrl&gt;
		&lt;LineString&gt;
			&lt;tessellate&gt;1&lt;/tessellate&gt;
			&lt;coordinates&gt;
				-42.67777714497445,-4.979711974135811,0 -42.67881247940543,-4.977199041420299,0 
			&lt;/coordinates&gt;
		&lt;/LineString&gt;
		&lt;atom:link rel="app" href="https://www.google.com/earth/about/versions/#earth-pro" title="Google Earth Pro 7.3.6.10201"&gt;&lt;/atom:link&gt;
	&lt;/Placemark&gt;
&lt;/Document&gt;
&lt;/kml&gt;</t>
  </si>
  <si>
    <t>REFORMA DE UM CAMPO DE FUTEBOL NO MUNICÍPIO DE TERESINA-PI (COMUNIDADE ANGOLÁ)</t>
  </si>
  <si>
    <t>OMUNIDADE ANGOLÁ</t>
  </si>
  <si>
    <t>&lt;?xml version="1.0" encoding="UTF-8"?&gt;
&lt;kml xmlns="http://www.opengis.net/kml/2.2" xmlns:gx="http://www.google.com/kml/ext/2.2" xmlns:kml="http://www.opengis.net/kml/2.2" xmlns:atom="http://www.w3.org/2005/Atom"&gt;
&lt;Document id="document"&gt;
	&lt;name&gt;Mapa sem título&lt;/name&gt;
	&lt;gx:CascadingStyle kml:id="__managed_style_0B62A52EB03F1430D1D1_highlight"&gt;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kml:id="__managed_style_0B62A52EB03F1430D1D1_normal"&gt;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id="__managed_style_0B62A52EB03F1430D1D1"&gt;
		&lt;Pair&gt;
			&lt;key&gt;normal&lt;/key&gt;
			&lt;styleUrl&gt;#__managed_style_0B62A52EB03F1430D1D1_normal&lt;/styleUrl&gt;
		&lt;/Pair&gt;
		&lt;Pair&gt;
			&lt;key&gt;highlight&lt;/key&gt;
			&lt;styleUrl&gt;#__managed_style_0B62A52EB03F1430D1D1_highlight&lt;/styleUrl&gt;
		&lt;/Pair&gt;
	&lt;/StyleMap&gt;
	&lt;Placemark id="0A034567933F1430D18E"&gt;
		&lt;name&gt;5°12&amp;apos;54.2&amp;quot;S 42°42&amp;apos;15.7&amp;quot;W&lt;/name&gt;
		&lt;LookAt&gt;
			&lt;longitude&gt;-42.704373&lt;/longitude&gt;
			&lt;latitude&gt;-5.215051&lt;/latitude&gt;
			&lt;altitude&gt;0&lt;/altitude&gt;
			&lt;heading&gt;0&lt;/heading&gt;
			&lt;tilt&gt;0&lt;/tilt&gt;
			&lt;gx:fovy&gt;35&lt;/gx:fovy&gt;
			&lt;range&gt;1051.646693508919&lt;/range&gt;
			&lt;altitudeMode&gt;relativeToGround&lt;/altitudeMode&gt;
		&lt;/LookAt&gt;
		&lt;styleUrl&gt;#__managed_style_0B62A52EB03F1430D1D1&lt;/styleUrl&gt;
		&lt;Point&gt;
			&lt;extrude&gt;1&lt;/extrude&gt;
			&lt;coordinates&gt;-42.704373,-5.215051,0&lt;/coordinates&gt;
		&lt;/Point&gt;
	&lt;/Placemark&gt;
&lt;/Document&gt;
&lt;/kml&gt;</t>
  </si>
  <si>
    <t>PAVIMENTAÇÃO EM PARALELEPÍPEDO (CACIMBA VELHA) - TERESINA PIAUÍ</t>
  </si>
  <si>
    <t>&lt;?xml version="1.0" encoding="UTF-8"?&gt;
&lt;kml xmlns="http://www.opengis.net/kml/2.2" xmlns:gx="http://www.google.com/kml/ext/2.2" xmlns:kml="http://www.opengis.net/kml/2.2" xmlns:atom="http://www.w3.org/2005/Atom"&gt;
&lt;Document&gt;
	&lt;name&gt;63.kmz&lt;/name&gt;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&lt;LineStyle&gt;
			&lt;color&gt;ff0000ff&lt;/color&gt;
			&lt;width&gt;7&lt;/width&gt;
		&lt;/LineStyle&gt;
	&lt;/Style&gt;
	&lt;Style id="s_ylw-pushpin_hl"&gt;
		&lt;IconStyle&gt;
			&lt;scale&gt;1.3&lt;/scale&gt;
			&lt;Icon&gt;
				&lt;href&gt;http://maps.google.com/mapfiles/kml/pushpin/ylw-pushpin.png&lt;/href&gt;
			&lt;/Icon&gt;
			&lt;hotSpot x="20" y="2" xunits="pixels" yunits="pixels"/&gt;
		&lt;/IconStyle&gt;
		&lt;LineStyle&gt;
			&lt;color&gt;ff0000ff&lt;/color&gt;
			&lt;width&gt;7&lt;/width&gt;
		&lt;/LineStyle&gt;
	&lt;/Style&gt;
	&lt;Placemark&gt;
		&lt;name&gt;Caminho sem título&lt;/name&gt;
		&lt;styleUrl&gt;#m_ylw-pushpin&lt;/styleUrl&gt;
		&lt;LineString&gt;
			&lt;tessellate&gt;1&lt;/tessellate&gt;
			&lt;coordinates&gt;
				-42.67279690796923,-4.927413870067947,0 -42.6704812168807,-4.928178758385322,0 -42.66952265747842,-4.929684591451045,0 -42.66914912567114,-4.931091290315186,0 
			&lt;/coordinates&gt;
		&lt;/LineString&gt;
		&lt;atom:link rel="app" href="https://www.google.com/earth/about/versions/#earth-pro" title="Google Earth Pro 7.3.6.10201"&gt;&lt;/atom:link&gt;
	&lt;/Placemark&gt;
&lt;/Document&gt;
&lt;/kml&gt;</t>
  </si>
  <si>
    <t>EXECUTAR A CONSTRUÇÃO DA SEDE DE CRIADORES DE CAVALOS CRIOULOS NO PARQUE DE EXPOSIÇÃO DIRCEU ARCOVERDE NO MUNICÍPIO DE TERESINA-PI</t>
  </si>
  <si>
    <t>PRIMAVERA</t>
  </si>
  <si>
    <t>&lt;?xml version="1.0" encoding="UTF-8"?&gt;
&lt;kml xmlns="http://www.opengis.net/kml/2.2" xmlns:gx="http://www.google.com/kml/ext/2.2" xmlns:kml="http://www.opengis.net/kml/2.2" xmlns:atom="http://www.w3.org/2005/Atom"&gt;
&lt;Document id="document"&gt;
	&lt;name&gt;Mapa sem título&lt;/name&gt;
	&lt;gx:CascadingStyle kml:id="__managed_style_0D6D99A2273F139FAB54_highlight"&gt;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kml:id="__managed_style_0D6D99A2273F139FAB54_normal"&gt;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id="__managed_style_0D6D99A2273F139FAB54"&gt;
		&lt;Pair&gt;
			&lt;key&gt;normal&lt;/key&gt;
			&lt;styleUrl&gt;#__managed_style_0D6D99A2273F139FAB54_normal&lt;/styleUrl&gt;
		&lt;/Pair&gt;
		&lt;Pair&gt;
			&lt;key&gt;highlight&lt;/key&gt;
			&lt;styleUrl&gt;#__managed_style_0D6D99A2273F139FAB54_highlight&lt;/styleUrl&gt;
		&lt;/Pair&gt;
	&lt;/StyleMap&gt;
	&lt;Placemark id="0FB8F7B3DA3F13A08027"&gt;
		&lt;gx:mid&gt;/g/11c2m8ngz8&lt;/gx:mid&gt;
		&lt;gx:fid&gt;0x78e24d43659f5bb:0xba356446a7fee2c7&lt;/gx:fid&gt;
		&lt;LookAt&gt;
			&lt;longitude&gt;-42.7038726&lt;/longitude&gt;
			&lt;latitude&gt;-5.063113&lt;/latitude&gt;
			&lt;altitude&gt;0&lt;/altitude&gt;
			&lt;heading&gt;0&lt;/heading&gt;
			&lt;tilt&gt;0&lt;/tilt&gt;
			&lt;gx:fovy&gt;35&lt;/gx:fovy&gt;
			&lt;range&gt;1051.927501685069&lt;/range&gt;
			&lt;altitudeMode&gt;relativeToGround&lt;/altitudeMode&gt;
		&lt;/LookAt&gt;
		&lt;styleUrl&gt;#__managed_style_0D6D99A2273F139FAB54&lt;/styleUrl&gt;
		&lt;Point&gt;
			&lt;altitudeMode&gt;relativeToGround&lt;/altitudeMode&gt;
			&lt;coordinates&gt;-42.7038726,-5.063113,0&lt;/coordinates&gt;
		&lt;/Point&gt;
	&lt;/Placemark&gt;
&lt;/Document&gt;
&lt;/kml&gt;</t>
  </si>
  <si>
    <t>IMPLANTAÇÃO DE BUEIRO TUBULAR PARA DRENAGEM PLUVIAL NA LOCALIDADE CAJAZEIRAS, ETAPA II, NO MUNICÍPIO DE TERESINA - PI.</t>
  </si>
  <si>
    <t>COMUNIDADE CAJAZEIRAS</t>
  </si>
  <si>
    <t>&lt;?xml version="1.0" encoding="UTF-8"?&gt;
&lt;kml xmlns="http://www.opengis.net/kml/2.2" xmlns:gx="http://www.google.com/kml/ext/2.2" xmlns:kml="http://www.opengis.net/kml/2.2" xmlns:atom="http://www.w3.org/2005/Atom"&gt;
&lt;Document id="document"&gt;
	&lt;name&gt;Mapa sem título&lt;/name&gt;
	&lt;gx:CascadingStyle kml:id="__managed_style_05E55613003F1409DECC_highlight"&gt;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kml:id="__managed_style_05E55613003F1409DECC_normal"&gt;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id="__managed_style_05E55613003F1409DECC"&gt;
		&lt;Pair&gt;
			&lt;key&gt;normal&lt;/key&gt;
			&lt;styleUrl&gt;#__managed_style_05E55613003F1409DECC_normal&lt;/styleUrl&gt;
		&lt;/Pair&gt;
		&lt;Pair&gt;
			&lt;key&gt;highlight&lt;/key&gt;
			&lt;styleUrl&gt;#__managed_style_05E55613003F1409DECC_highlight&lt;/styleUrl&gt;
		&lt;/Pair&gt;
	&lt;/StyleMap&gt;
	&lt;Placemark id="0289EA5F4A3F1409DEB4"&gt;
		&lt;name&gt;4°54&amp;apos;01.0&amp;quot;S 42°48&amp;apos;45.0&amp;quot;W&lt;/name&gt;
		&lt;LookAt&gt;
			&lt;longitude&gt;-42.8125&lt;/longitude&gt;
			&lt;latitude&gt;-4.9002778&lt;/latitude&gt;
			&lt;altitude&gt;0&lt;/altitude&gt;
			&lt;heading&gt;0&lt;/heading&gt;
			&lt;tilt&gt;0&lt;/tilt&gt;
			&lt;gx:fovy&gt;35&lt;/gx:fovy&gt;
			&lt;range&gt;1052.219271872082&lt;/range&gt;
			&lt;altitudeMode&gt;relativeToGround&lt;/altitudeMode&gt;
		&lt;/LookAt&gt;
		&lt;styleUrl&gt;#__managed_style_05E55613003F1409DECC&lt;/styleUrl&gt;
		&lt;Point&gt;
			&lt;extrude&gt;1&lt;/extrude&gt;
			&lt;coordinates&gt;-42.8125,-4.9002778,0&lt;/coordinates&gt;
		&lt;/Point&gt;
	&lt;/Placemark&gt;
&lt;/Document&gt;
&lt;/kml&gt;</t>
  </si>
  <si>
    <t>PAVIMENTAÇÃO EM PARALELEPÍPEDO, ZONA RURAL DO MUNICÍPIO DE TERESINA-PI, NO ASSENTAMENTO SERRA DOURADA COM ÁREA TOTAL DE 6.000,00 M². CONT. 22A/2024 - REFRILUX</t>
  </si>
  <si>
    <t>ASSENTAMENTO SERRA DOURADA</t>
  </si>
  <si>
    <t>&lt;?xml version="1.0" encoding="UTF-8"?&gt;
&lt;kml xmlns="http://www.opengis.net/kml/2.2" xmlns:gx="http://www.google.com/kml/ext/2.2" xmlns:kml="http://www.opengis.net/kml/2.2" xmlns:atom="http://www.w3.org/2005/Atom"&gt;
&lt;Document&gt;
	&lt;name&gt;LOCALIDADE SERRA DOURADA, TERESINA-PI.kmz&lt;/name&gt;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&lt;LineStyle&gt;
			&lt;color&gt;ff00ffff&lt;/color&gt;
			&lt;width&gt;6&lt;/width&gt;
		&lt;/LineStyle&gt;
	&lt;/Style&gt;
	&lt;Style id="s_ylw-pushpin_hl"&gt;
		&lt;IconStyle&gt;
			&lt;scale&gt;1.3&lt;/scale&gt;
			&lt;Icon&gt;
				&lt;href&gt;http://maps.google.com/mapfiles/kml/pushpin/ylw-pushpin.png&lt;/href&gt;
			&lt;/Icon&gt;
			&lt;hotSpot x="20" y="2" xunits="pixels" yunits="pixels"/&gt;
		&lt;/IconStyle&gt;
		&lt;LineStyle&gt;
			&lt;color&gt;ff00ffff&lt;/color&gt;
			&lt;width&gt;6&lt;/width&gt;
		&lt;/LineStyle&gt;
	&lt;/Style&gt;
	&lt;Placemark&gt;
		&lt;name&gt;LOCALIDADE SERRA DOURADA, TERESINA-PI&lt;/name&gt;
		&lt;styleUrl&gt;#m_ylw-pushpin&lt;/styleUrl&gt;
		&lt;LineString&gt;
			&lt;tessellate&gt;1&lt;/tessellate&gt;
			&lt;coordinates&gt;
				-42.74031936049198,-4.984685506892339,0 -42.74013141189028,-4.984670029507289,0 -42.74002985357836,-4.984676289433451,0 -42.73994145881407,-4.984706885746526,0 -42.73990075504067,-4.984760879628268,0 -42.73987210612113,-4.98484709311128,0 -42.73981520773502,-4.985140897124398,0 -42.7394443070503,-4.985298235273699,0 -42.73912335122314,-4.98547172956347,0 -42.73892364818285,-4.985588028483072,0 -42.73856912078853,-4.985868496099584,0 -42.73839189734981,-4.986008069530775,0 -42.73816720637913,-4.986162858183715,0 -42.73785834792182,-4.986368132655989,0 -42.7376655730891,-4.986508046173745,0 -42.73744808199883,-4.986633508120633,0 -42.73731695733763,-4.986778463446095,0 -42.73723864728814,-4.986934345054817,0 -42.73716264706359,-4.987141406266638,0 -42.73712452235845,-4.987350660515186,0 -42.73710706016342,-4.987566491659456,0 -42.73712015588244,-4.98781738585974,0 -42.73716706433841,-4.987985661332734,0 -42.73722192635286,-4.988088797908197,0 -42.73729345756926,-4.988229666642013,0 -42.73739657227003,-4.98833935687261,0 -42.7374769391777,-4.988450573969859,0 -42.73754222286862,-4.988570578872974,0 -42.73756430639185,-4.988660352936999,0 -42.73764726496578,-4.988959780501296,0 -42.73767684743537,-4.989098980922865,0 -42.73772779994214,-4.989220724338385,0 -42.73784859804978,-4.989398472931955,0 -42.73791958563623,-4.989556357521399,0 -42.73797877506613,-4.989709721694634,0 -42.73803317876595,-4.989905938827499,0 -42.73807090230975,-4.990079307039853,0 -42.7381293311505,-4.990409806225581,0 -42.73822041974126,-4.990761054152022,0 -42.73831714599824,-4.991113850167204,0 -42.73835290691433,-4.99132382719486,0 -42.73835791982191,-4.991511136519745,0 -42.73836575505403,-4.991675009690264,0 
			&lt;/coordinates&gt;
		&lt;/LineString&gt;
		&lt;atom:link rel="app" href="https://www.google.com/earth/about/versions/#earth-pro" title="Google Earth Pro 7.3.6.10441"&gt;&lt;/atom:link&gt;
	&lt;/Placemark&gt;
&lt;/Document&gt;
&lt;/kml&gt;</t>
  </si>
  <si>
    <t>PAVIMENTAÇÃO EM PARALELEPIPEDO DE 3.150,00 M² NO PARQUE TORQUATO NETO NO MUNICIPIO DE TERESINA-PI - CONTRATO 035/2025 - MESQUITA &amp; SANTOS - OPA</t>
  </si>
  <si>
    <t>TORQUATO NETO</t>
  </si>
  <si>
    <t>&lt;?xml version="1.0" encoding="UTF-8"?&gt;
&lt;kml xmlns="http://www.opengis.net/kml/2.2" xmlns:gx="http://www.google.com/kml/ext/2.2" xmlns:kml="http://www.opengis.net/kml/2.2" xmlns:atom="http://www.w3.org/2005/Atom"&gt;
&lt;Document&gt;
	&lt;name&gt;Torquato neto.kmz&lt;/name&gt;
	&lt;StyleMap id="msn_ylw-pushpin"&gt;
		&lt;Pair&gt;
			&lt;key&gt;normal&lt;/key&gt;
			&lt;styleUrl&gt;#sn_ylw-pushpin0&lt;/styleUrl&gt;
		&lt;/Pair&gt;
		&lt;Pair&gt;
			&lt;key&gt;highlight&lt;/key&gt;
			&lt;styleUrl&gt;#sh_ylw-pushpin0&lt;/styleUrl&gt;
		&lt;/Pair&gt;
	&lt;/StyleMap&gt;
	&lt;StyleMap id="msn_ylw-pushpin0"&gt;
		&lt;Pair&gt;
			&lt;key&gt;normal&lt;/key&gt;
			&lt;styleUrl&gt;#sn_ylw-pushpin&lt;/styleUrl&gt;
		&lt;/Pair&gt;
		&lt;Pair&gt;
			&lt;key&gt;highlight&lt;/key&gt;
			&lt;styleUrl&gt;#sh_ylw-pushpin&lt;/styleUrl&gt;
		&lt;/Pair&gt;
	&lt;/StyleMap&gt;
	&lt;Style id="sh_ylw-pushpin"&gt;
		&lt;IconStyle&gt;
			&lt;scale&gt;1.3&lt;/scale&gt;
			&lt;Icon&gt;
				&lt;href&gt;http://maps.google.com/mapfiles/kml/pushpin/ylw-pushpin.png&lt;/href&gt;
			&lt;/Icon&gt;
			&lt;hotSpot x="20" y="2" xunits="pixels" yunits="pixels"/&gt;
		&lt;/IconStyle&gt;
		&lt;LineStyle&gt;
			&lt;color&gt;ffffaaaa&lt;/color&gt;
			&lt;width&gt;6&lt;/width&gt;
		&lt;/LineStyle&gt;
	&lt;/Style&gt;
	&lt;Style id="sh_ylw-pushpin0"&gt;
		&lt;IconStyle&gt;
			&lt;scale&gt;1.3&lt;/scale&gt;
			&lt;Icon&gt;
				&lt;href&gt;http://maps.google.com/mapfiles/kml/pushpin/ylw-pushpin.png&lt;/href&gt;
			&lt;/Icon&gt;
			&lt;hotSpot x="20" y="2" xunits="pixels" yunits="pixels"/&gt;
		&lt;/IconStyle&gt;
		&lt;LineStyle&gt;
			&lt;color&gt;ff00aaff&lt;/color&gt;
			&lt;width&gt;6&lt;/width&gt;
		&lt;/LineStyle&gt;
	&lt;/Style&gt;
	&lt;Style id="sn_ylw-pushpin"&gt;
		&lt;IconStyle&gt;
			&lt;scale&gt;1.1&lt;/scale&gt;
			&lt;Icon&gt;
				&lt;href&gt;http://maps.google.com/mapfiles/kml/pushpin/ylw-pushpin.png&lt;/href&gt;
			&lt;/Icon&gt;
			&lt;hotSpot x="20" y="2" xunits="pixels" yunits="pixels"/&gt;
		&lt;/IconStyle&gt;
		&lt;LineStyle&gt;
			&lt;color&gt;ffffaaaa&lt;/color&gt;
			&lt;width&gt;6&lt;/width&gt;
		&lt;/LineStyle&gt;
	&lt;/Style&gt;
	&lt;Style id="sn_ylw-pushpin0"&gt;
		&lt;IconStyle&gt;
			&lt;scale&gt;1.1&lt;/scale&gt;
			&lt;Icon&gt;
				&lt;href&gt;http://maps.google.com/mapfiles/kml/pushpin/ylw-pushpin.png&lt;/href&gt;
			&lt;/Icon&gt;
			&lt;hotSpot x="20" y="2" xunits="pixels" yunits="pixels"/&gt;
		&lt;/IconStyle&gt;
		&lt;LineStyle&gt;
			&lt;color&gt;ff00aaff&lt;/color&gt;
			&lt;width&gt;6&lt;/width&gt;
		&lt;/LineStyle&gt;
	&lt;/Style&gt;
	&lt;Folder&gt;
		&lt;name&gt;Torquato neto&lt;/name&gt;
		&lt;open&gt;1&lt;/open&gt;
		&lt;Placemark&gt;
			&lt;name&gt;RUA PREFEITO FIRMINO FILHO&lt;/name&gt;
			&lt;styleUrl&gt;#msn_ylw-pushpin&lt;/styleUrl&gt;
			&lt;LineString&gt;
				&lt;tessellate&gt;1&lt;/tessellate&gt;
				&lt;coordinates&gt;
					-42.73599990288364,-5.179584835754584,0 -42.73548486732037,-5.179975459685351,0 -42.73490608196754,-5.18041520934152,0 -42.73443894844103,-5.180754375398644,0 -42.7340291366202,-5.181064425671706,0 -42.73376759230568,-5.181277887880947,0 
				&lt;/coordinates&gt;
			&lt;/LineString&gt;
		&lt;/Placemark&gt;
		&lt;Placemark&gt;
			&lt;name&gt;RUA CIELDO DE AGUIAR DE SOUSA&lt;/name&gt;
			&lt;open&gt;1&lt;/open&gt;
			&lt;styleUrl&gt;#msn_ylw-pushpin0&lt;/styleUrl&gt;
			&lt;LineString&gt;
				&lt;tessellate&gt;1&lt;/tessellate&gt;
				&lt;coordinates&gt;
					-42.73416143474987,-5.181526252751648,0 -42.73261988653167,-5.182706906566535,0 
				&lt;/coordinates&gt;
			&lt;/LineString&gt;
		&lt;/Placemark&gt;
		&lt;atom:link rel="app" href="https://www.google.com/earth/about/versions/#earth-pro" title="Google Earth Pro 7.3.6.10201"&gt;&lt;/atom:link&gt;
	&lt;/Folder&gt;
&lt;/Document&gt;
&lt;/kml&gt;</t>
  </si>
  <si>
    <t>PAVIMENTAÇÃO EM PARALELEPÍPEDO DE 3.600,00M² DE TRECHO NO MUNICÍPIO DE TERESINA - PI</t>
  </si>
  <si>
    <t>CHAPADINHA SUL</t>
  </si>
  <si>
    <t>&lt;?xml version="1.0" encoding="UTF-8"?&gt;
&lt;kml xmlns="http://www.opengis.net/kml/2.2" xmlns:gx="http://www.google.com/kml/ext/2.2" xmlns:kml="http://www.opengis.net/kml/2.2" xmlns:atom="http://www.w3.org/2005/Atom"&gt;
&lt;Document&gt;
	&lt;name&gt;PROJETO 3.600,00 M² TERESINA.kml&lt;/name&gt;
	&lt;StyleMap id="failed"&gt;
		&lt;Pair&gt;
			&lt;key&gt;normal&lt;/key&gt;
			&lt;styleUrl&gt;#failed1&lt;/styleUrl&gt;
		&lt;/Pair&gt;
		&lt;Pair&gt;
			&lt;key&gt;highlight&lt;/key&gt;
			&lt;styleUrl&gt;#failed2&lt;/styleUrl&gt;
		&lt;/Pair&gt;
	&lt;/StyleMap&gt;
	&lt;StyleMap id="failed0"&gt;
		&lt;Pair&gt;
			&lt;key&gt;normal&lt;/key&gt;
			&lt;styleUrl&gt;#failed3&lt;/styleUrl&gt;
		&lt;/Pair&gt;
		&lt;Pair&gt;
			&lt;key&gt;highlight&lt;/key&gt;
			&lt;styleUrl&gt;#failed4&lt;/styleUrl&gt;
		&lt;/Pair&gt;
	&lt;/StyleMap&gt;
	&lt;Style id="failed1"&gt;
	&lt;/Style&gt;
	&lt;Style id="failed2"&gt;
	&lt;/Style&gt;
	&lt;Style id="failed3"&gt;
	&lt;/Style&gt;
	&lt;Style id="failed4"&gt;
	&lt;/Style&gt;
	&lt;StyleMap id="inline"&gt;
		&lt;Pair&gt;
			&lt;key&gt;normal&lt;/key&gt;
			&lt;styleUrl&gt;#inline0&lt;/styleUrl&gt;
		&lt;/Pair&gt;
		&lt;Pair&gt;
			&lt;key&gt;highlight&lt;/key&gt;
			&lt;styleUrl&gt;#inline1&lt;/styleUrl&gt;
		&lt;/Pair&gt;
	&lt;/StyleMap&gt;
	&lt;Style id="inline0"&gt;
		&lt;LineStyle&gt;
			&lt;color&gt;ff0000ff&lt;/color&gt;
			&lt;width&gt;6&lt;/width&gt;
		&lt;/LineStyle&gt;
		&lt;PolyStyle&gt;
			&lt;fill&gt;0&lt;/fill&gt;
		&lt;/PolyStyle&gt;
	&lt;/Style&gt;
	&lt;Style id="inline1"&gt;
		&lt;LineStyle&gt;
			&lt;color&gt;ff0000ff&lt;/color&gt;
			&lt;width&gt;6&lt;/width&gt;
		&lt;/LineStyle&gt;
		&lt;PolyStyle&gt;
			&lt;fill&gt;0&lt;/fill&gt;
		&lt;/PolyStyle&gt;
	&lt;/Style&gt;
	&lt;Folder&gt;
		&lt;name&gt;3.600&lt;/name&gt;
		&lt;open&gt;1&lt;/open&gt;
		&lt;Placemark&gt;
			&lt;name&gt;TRECHO CAHAPDINHA SUL 3.600 M²&lt;/name&gt;
			&lt;description&gt;600,00  X 6,00&lt;/description&gt;
			&lt;styleUrl&gt;#inline&lt;/styleUrl&gt;
			&lt;LineString&gt;
				&lt;tessellate&gt;1&lt;/tessellate&gt;
				&lt;coordinates&gt;
					-42.73931561826554,-5.259328612180411,0 -42.7430073280231,-5.263245445807049,0 
				&lt;/coordinates&gt;
			&lt;/LineString&gt;
		&lt;/Placemark&gt;
		&lt;Placemark&gt;
			&lt;name&gt;INÍCIO -5.259330 -42.739321&lt;/name&gt;
			&lt;styleUrl&gt;#failed&lt;/styleUrl&gt;
			&lt;Point&gt;
				&lt;coordinates&gt;-42.739321,-5.25933,0&lt;/coordinates&gt;
			&lt;/Point&gt;
		&lt;/Placemark&gt;
		&lt;Placemark&gt;
			&lt;name&gt;FIM -5.263233 -42.742999&lt;/name&gt;
			&lt;styleUrl&gt;#failed0&lt;/styleUrl&gt;
			&lt;Point&gt;
				&lt;coordinates&gt;-42.742999,-5.263233,0&lt;/coordinates&gt;
			&lt;/Point&gt;
		&lt;/Placemark&gt;
		&lt;atom:link rel="app" href="https://www.google.com/earth/about/versions/#earth-pro" title="Google Earth Pro 7.3.6.10201"&gt;&lt;/atom:link&gt;
	&lt;/Folder&gt;
&lt;/Document&gt;
&lt;/kml&gt;</t>
  </si>
  <si>
    <t>PAVIMENTAÇÃO EM PARALELEPÍPEDO DE 10.050,00M² DE RUAS NO MUNICÍPIO DE TERESINA- PI</t>
  </si>
  <si>
    <t>&lt;?xml version="1.0" encoding="UTF-8"?&gt;
&lt;kml xmlns="http://www.opengis.net/kml/2.2" xmlns:gx="http://www.google.com/kml/ext/2.2" xmlns:kml="http://www.opengis.net/kml/2.2" xmlns:atom="http://www.w3.org/2005/Atom"&gt;
&lt;Document id="document"&gt;
	&lt;name&gt;Mapa sem título&lt;/name&gt;
	&lt;gx:CascadingStyle kml:id="__managed_style_079D5A83C53F13D69B03_highlight"&gt;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kml:id="__managed_style_079D5A83C53F13D69B03_normal"&gt;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id="__managed_style_079D5A83C53F13D69B03"&gt;
		&lt;Pair&gt;
			&lt;key&gt;normal&lt;/key&gt;
			&lt;styleUrl&gt;#__managed_style_079D5A83C53F13D69B03_normal&lt;/styleUrl&gt;
		&lt;/Pair&gt;
		&lt;Pair&gt;
			&lt;key&gt;highlight&lt;/key&gt;
			&lt;styleUrl&gt;#__managed_style_079D5A83C53F13D69B03_highlight&lt;/styleUrl&gt;
		&lt;/Pair&gt;
	&lt;/StyleMap&gt;
	&lt;Placemark id="08B79F8E403F13D69ADB"&gt;
		&lt;name&gt;Caminho sem título&lt;/name&gt;
		&lt;LookAt&gt;
			&lt;longitude&gt;-42.66838057778968&lt;/longitude&gt;
			&lt;latitude&gt;-5.228058749685767&lt;/latitude&gt;
			&lt;altitude&gt;83.31246668337307&lt;/altitude&gt;
			&lt;heading&gt;0&lt;/heading&gt;
			&lt;tilt&gt;0&lt;/tilt&gt;
			&lt;gx:fovy&gt;35&lt;/gx:fovy&gt;
			&lt;range&gt;5186.1977530882&lt;/range&gt;
			&lt;altitudeMode&gt;absolute&lt;/altitudeMode&gt;
		&lt;/LookAt&gt;
		&lt;styleUrl&gt;#__managed_style_079D5A83C53F13D69B03&lt;/styleUrl&gt;
		&lt;LineString&gt;
			&lt;coordinates&gt;
				-42.66572195513762,-5.225644780504662,0 -42.66719297302282,-5.227358486111168,0 -42.66728673052469,-5.228416660610997,0 -42.66712986841086,-5.229849161824191,0 -42.66722366416249,-5.230970121039996,0 -42.66784886496828,-5.232559472293306,0 -42.66944411551281,-5.234678134375308,0 -42.66991278200078,-5.233585941251121,0 -42.67100755899053,-5.233462088705615,0 
			&lt;/coordinates&gt;
		&lt;/LineString&gt;
	&lt;/Placemark&gt;
	&lt;Placemark id="08563C48913F13D6B2A0"&gt;
		&lt;name&gt;Marcador de local sem título&lt;/name&gt;
		&lt;LookAt&gt;
			&lt;longitude&gt;-42.665216093592&lt;/longitude&gt;
			&lt;latitude&gt;-5.226095341420642&lt;/latitude&gt;
			&lt;altitude&gt;76.89117085348038&lt;/altitude&gt;
			&lt;heading&gt;0&lt;/heading&gt;
			&lt;tilt&gt;0&lt;/tilt&gt;
			&lt;gx:fovy&gt;35&lt;/gx:fovy&gt;
			&lt;range&gt;1494.026849495567&lt;/range&gt;
			&lt;altitudeMode&gt;absolute&lt;/altitudeMode&gt;
		&lt;/LookAt&gt;
		&lt;styleUrl&gt;#__managed_style_079D5A83C53F13D69B03&lt;/styleUrl&gt;
		&lt;Point&gt;
			&lt;coordinates&gt;-42.66573713900069,-5.225670396777844,80.15355284160481&lt;/coordinates&gt;
		&lt;/Point&gt;
	&lt;/Placemark&gt;
	&lt;Placemark id="092C7D0FF53F13D75D51"&gt;
		&lt;name&gt;Marcador de local sem título&lt;/name&gt;
		&lt;LookAt&gt;
			&lt;longitude&gt;-42.67022996941871&lt;/longitude&gt;
			&lt;latitude&gt;-5.233551952203316&lt;/latitude&gt;
			&lt;altitude&gt;80.79163500391044&lt;/altitude&gt;
			&lt;heading&gt;0&lt;/heading&gt;
			&lt;tilt&gt;0&lt;/tilt&gt;
			&lt;gx:fovy&gt;35&lt;/gx:fovy&gt;
			&lt;range&gt;841.6720848338446&lt;/range&gt;
			&lt;altitudeMode&gt;absolute&lt;/altitudeMode&gt;
		&lt;/LookAt&gt;
		&lt;styleUrl&gt;#__managed_style_079D5A83C53F13D69B03&lt;/styleUrl&gt;
		&lt;Point&gt;
			&lt;coordinates&gt;-42.6702604027771,-5.233589835334169,80.7670853271665&lt;/coordinates&gt;
		&lt;/Point&gt;
	&lt;/Placemark&gt;
	&lt;Placemark id="02F355F0C83F13D982EC"&gt;
		&lt;name&gt;Caminho sem título&lt;/name&gt;
		&lt;LookAt&gt;
			&lt;longitude&gt;-42.66944665080306&lt;/longitude&gt;
			&lt;latitude&gt;-5.231985725707593&lt;/latitude&gt;
			&lt;altitude&gt;83.15280891765808&lt;/altitude&gt;
			&lt;heading&gt;0&lt;/heading&gt;
			&lt;tilt&gt;0&lt;/tilt&gt;
			&lt;gx:fovy&gt;35&lt;/gx:fovy&gt;
			&lt;range&gt;1723.866215601156&lt;/range&gt;
			&lt;altitudeMode&gt;absolute&lt;/altitudeMode&gt;
		&lt;/LookAt&gt;
		&lt;styleUrl&gt;#__managed_style_079D5A83C53F13D69B03&lt;/styleUrl&gt;
		&lt;LineString&gt;
			&lt;coordinates&gt;
				-42.67026040222227,-5.233579732584531,0 -42.67039228847087,-5.233706017767095,0 -42.67251516350348,-5.235007665024737,0 
			&lt;/coordinates&gt;
		&lt;/LineString&gt;
	&lt;/Placemark&gt;
&lt;/Document&gt;
&lt;/kml&gt;</t>
  </si>
  <si>
    <t>IMPLANTAÇÃO DE SISTEMA DE ABASTECIMENTO DE ÁGUA NA LOCALIDADE SÃO VICENTE, NO MUNICÍPIO TERESINA - PI</t>
  </si>
  <si>
    <t>COMUNIDADE SÃO VICENTE</t>
  </si>
  <si>
    <t>&lt;?xml version="1.0" encoding="UTF-8"?&gt;
&lt;kml xmlns="http://www.opengis.net/kml/2.2" xmlns:gx="http://www.google.com/kml/ext/2.2" xmlns:kml="http://www.opengis.net/kml/2.2" xmlns:atom="http://www.w3.org/2005/Atom"&gt;
&lt;Document id="document"&gt;
	&lt;name&gt;IMPLANTAÇÃO DE SISTEMA DE ABASTECIMENTO DE ÁGUA NA LOCALIDADE SÃO VICENTE, NO MUNICÍPIO TERESINA - PI&lt;/name&gt;
	&lt;gx:CascadingStyle kml:id="__managed_style_0C0750EB993F14136C5C_highlight"&gt;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kml:id="__managed_style_0C0750EB993F14136C5C_normal"&gt;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id="__managed_style_0C0750EB993F14136C5C"&gt;
		&lt;Pair&gt;
			&lt;key&gt;normal&lt;/key&gt;
			&lt;styleUrl&gt;#__managed_style_0C0750EB993F14136C5C_normal&lt;/styleUrl&gt;
		&lt;/Pair&gt;
		&lt;Pair&gt;
			&lt;key&gt;highlight&lt;/key&gt;
			&lt;styleUrl&gt;#__managed_style_0C0750EB993F14136C5C_highlight&lt;/styleUrl&gt;
		&lt;/Pair&gt;
	&lt;/StyleMap&gt;
	&lt;GroundOverlay id="0339183A1C3F14168A8C"&gt;
		&lt;name&gt;Área político-administrativa (nível 2)&lt;/name&gt;
		&lt;LookAt&gt;
			&lt;longitude&gt;-105&lt;/longitude&gt;
			&lt;latitude&gt;44&lt;/latitude&gt;
			&lt;altitude&gt;0&lt;/altitude&gt;
			&lt;heading&gt;0&lt;/heading&gt;
			&lt;tilt&gt;0&lt;/tilt&gt;
			&lt;gx:fovy&gt;30&lt;/gx:fovy&gt;
			&lt;range&gt;10000000&lt;/range&gt;
			&lt;altitudeMode&gt;absolute&lt;/altitudeMode&gt;
		&lt;/LookAt&gt;
		&lt;styleUrl&gt;#__managed_style_0C0750EB993F14136C5C&lt;/styleUrl&gt;
		&lt;drawOrder&gt;5&lt;/drawOrder&gt;
		&lt;Icon&gt;
			&lt;href&gt;data:image/gif;base64,R0lGODlhAQABAIAAAP///wAAACH5BAEAAAAALAAAAAABAAEAAAICRAEAOw==&lt;/href&gt;
		&lt;/Icon&gt;
		&lt;LatLonBox&gt;
			&lt;north&gt;85&lt;/north&gt;
			&lt;south&gt;-85&lt;/south&gt;
			&lt;east&gt;180&lt;/east&gt;
			&lt;west&gt;-180&lt;/west&gt;
		&lt;/LatLonBox&gt;
		&lt;gx:MapTilePyramid&gt;
			&lt;Link&gt;
				&lt;href&gt;earthdatalayer:0:CAESJDkyNTU4MzMwLTM4ZmQtNDQxNC1hNTI4LTk2M2Y1NzYwMmQ1Ng&lt;/href&gt;
			&lt;/Link&gt;
			&lt;gx:minLevel&gt;0&lt;/gx:minLevel&gt;
			&lt;gx:maxLevel&gt;22&lt;/gx:maxLevel&gt;
		&lt;/gx:MapTilePyramid&gt;
	&lt;/GroundOverlay&gt;
	&lt;Placemark id="09B71352B73F1417DB5C"&gt;
		&lt;name&gt;4°54&amp;apos;20.0&amp;quot;S 42°47&amp;apos;10.0&amp;quot;W&lt;/name&gt;
		&lt;LookAt&gt;
			&lt;longitude&gt;-42.7861111&lt;/longitude&gt;
			&lt;latitude&gt;-4.9055556&lt;/latitude&gt;
			&lt;altitude&gt;0&lt;/altitude&gt;
			&lt;heading&gt;0&lt;/heading&gt;
			&lt;tilt&gt;0&lt;/tilt&gt;
			&lt;gx:fovy&gt;35&lt;/gx:fovy&gt;
			&lt;range&gt;1052.209963980066&lt;/range&gt;
			&lt;altitudeMode&gt;relativeToGround&lt;/altitudeMode&gt;
		&lt;/LookAt&gt;
		&lt;styleUrl&gt;#__managed_style_0C0750EB993F14136C5C&lt;/styleUrl&gt;
		&lt;Point&gt;
			&lt;extrude&gt;1&lt;/extrude&gt;
			&lt;coordinates&gt;-42.7861111,-4.9055556,0&lt;/coordinates&gt;
		&lt;/Point&gt;
	&lt;/Placemark&gt;
&lt;/Document&gt;
&lt;/kml&gt;</t>
  </si>
  <si>
    <t>PAVIMENTAÇÃO EM PARALELEPÍPEDO DE 1.200,00 M² NO BAIRRO SOCOPO, RUA COHEB, ZONA URBANA DO MUNICÍPIO DE TERESINA - PI. CONT. 60/2024 - VM</t>
  </si>
  <si>
    <t>SOCOPO</t>
  </si>
  <si>
    <t>&lt;?xml version="1.0" encoding="UTF-8"?&gt;
&lt;kml xmlns="http://www.opengis.net/kml/2.2" xmlns:gx="http://www.google.com/kml/ext/2.2" xmlns:kml="http://www.opengis.net/kml/2.2" xmlns:atom="http://www.w3.org/2005/Atom"&gt;
&lt;Document&gt;
	&lt;name&gt;RUA DA COHEB.kmz&lt;/name&gt;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&lt;LineStyle&gt;
			&lt;width&gt;6&lt;/width&gt;
		&lt;/LineStyle&gt;
	&lt;/Style&gt;
	&lt;Style id="s_ylw-pushpin_hl"&gt;
		&lt;IconStyle&gt;
			&lt;scale&gt;1.3&lt;/scale&gt;
			&lt;Icon&gt;
				&lt;href&gt;http://maps.google.com/mapfiles/kml/pushpin/ylw-pushpin.png&lt;/href&gt;
			&lt;/Icon&gt;
			&lt;hotSpot x="20" y="2" xunits="pixels" yunits="pixels"/&gt;
		&lt;/IconStyle&gt;
		&lt;LineStyle&gt;
			&lt;width&gt;6&lt;/width&gt;
		&lt;/LineStyle&gt;
	&lt;/Style&gt;
	&lt;Placemark&gt;
		&lt;name&gt;RUA DA COHEB&lt;/name&gt;
		&lt;styleUrl&gt;#m_ylw-pushpin&lt;/styleUrl&gt;
		&lt;LineString&gt;
			&lt;tessellate&gt;1&lt;/tessellate&gt;
			&lt;coordinates&gt;
				-42.75129680380144,-5.005967592156208,0 -42.75121064293292,-5.00644585772991,0 -42.7512138871344,-5.00658155359889,0 -42.75123948061799,-5.007258840771968,0 -42.75124660931596,-5.007453117758725,0 -42.75124838098522,-5.007679432975369,0 
			&lt;/coordinates&gt;
		&lt;/LineString&gt;
		&lt;atom:link rel="app" href="https://www.google.com/earth/about/versions/#earth-pro" title="Google Earth Pro 7.3.6.10441"&gt;&lt;/atom:link&gt;
	&lt;/Placemark&gt;
&lt;/Document&gt;
&lt;/kml&gt;</t>
  </si>
  <si>
    <t>RECUPERAÇÃO DE ESTRADA VICINAL – MUNICIPIO DE TERESINA POVOADO SANTA TERESA CONTRATO 93/2024</t>
  </si>
  <si>
    <t>POVOADO SANTO TERESA</t>
  </si>
  <si>
    <t>&lt;?xml version="1.0" encoding="UTF-8"?&gt;
&lt;kml xmlns="http://www.opengis.net/kml/2.2" xmlns:gx="http://www.google.com/kml/ext/2.2" xmlns:kml="http://www.opengis.net/kml/2.2" xmlns:atom="http://www.w3.org/2005/Atom"&gt;
&lt;Document&gt;
	&lt;name&gt;POVOADO SANTA TEREZA  - 12711.kmz&lt;/name&gt;
	&lt;StyleMap id="m_ylw-pushpin"&gt;
		&lt;Pair&gt;
			&lt;key&gt;normal&lt;/key&gt;
			&lt;styleUrl&gt;#s_ylw-pushpin&lt;/styleUrl&gt;
		&lt;/Pair&gt;
		&lt;Pair&gt;
			&lt;key&gt;highlight&lt;/key&gt;
			&lt;styleUrl&gt;#s_ylw-pushpin_hl0&lt;/styleUrl&gt;
		&lt;/Pair&gt;
	&lt;/StyleMap&gt;
	&lt;StyleMap id="m_ylw-pushpin0"&gt;
		&lt;Pair&gt;
			&lt;key&gt;normal&lt;/key&gt;
			&lt;styleUrl&gt;#s_ylw-pushpin0&lt;/styleUrl&gt;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id="s_ylw-pushpin0"&gt;
		&lt;IconStyle&gt;
			&lt;scale&gt;1.1&lt;/scale&gt;
			&lt;Icon&gt;
				&lt;href&gt;http://maps.google.com/mapfiles/kml/pushpin/ylw-pushpin.png&lt;/href&gt;
			&lt;/Icon&gt;
			&lt;hotSpot x="20" y="2" xunits="pixels" yunits="pixels"/&gt;
		&lt;/IconStyle&gt;
		&lt;LineStyle&gt;
			&lt;color&gt;ff0000ff&lt;/color&gt;
			&lt;width&gt;10&lt;/width&gt;
		&lt;/LineStyle&gt;
	&lt;/Style&gt;
	&lt;Style id="s_ylw-pushpin_hl"&gt;
		&lt;IconStyle&gt;
			&lt;scale&gt;1.3&lt;/scale&gt;
			&lt;Icon&gt;
				&lt;href&gt;http://maps.google.com/mapfiles/kml/pushpin/ylw-pushpin.png&lt;/href&gt;
			&lt;/Icon&gt;
			&lt;hotSpot x="20" y="2" xunits="pixels" yunits="pixels"/&gt;
		&lt;/IconStyle&gt;
		&lt;LineStyle&gt;
			&lt;color&gt;ff0000ff&lt;/color&gt;
			&lt;width&gt;10&lt;/width&gt;
		&lt;/LineStyle&gt;
	&lt;/Style&gt;
	&lt;Style id="s_ylw-pushpin_hl0"&gt;
		&lt;IconStyle&gt;
			&lt;scale&gt;1.3&lt;/scale&gt;
			&lt;Icon&gt;
				&lt;href&gt;http://maps.google.com/mapfiles/kml/pushpin/ylw-pushpin.png&lt;/href&gt;
			&lt;/Icon&gt;
			&lt;hotSpot x="20" y="2" xunits="pixels" yunits="pixels"/&gt;
		&lt;/IconStyle&gt;
	&lt;/Style&gt;
	&lt;Folder&gt;
		&lt;name&gt;POVOADO SANTA 
TERESA 12711&lt;/name&gt;
		&lt;open&gt;1&lt;/open&gt;
		&lt;Placemark&gt;
			&lt;name&gt;1590&lt;/name&gt;
			&lt;LookAt&gt;
				&lt;longitude&gt;-42.80189114422102&lt;/longitude&gt;
				&lt;latitude&gt;-5.099012238119188&lt;/latitude&gt;
				&lt;altitude&gt;0&lt;/altitude&gt;
				&lt;heading&gt;-0.0001223489961293416&lt;/heading&gt;
				&lt;tilt&gt;14.95938440103731&lt;/tilt&gt;
				&lt;range&gt;1150.962383525628&lt;/range&gt;
				&lt;gx:altitudeMode&gt;relativeToSeaFloor&lt;/gx:altitudeMode&gt;
			&lt;/LookAt&gt;
			&lt;styleUrl&gt;#m_ylw-pushpin&lt;/styleUrl&gt;
			&lt;Point&gt;
				&lt;gx:drawOrder&gt;1&lt;/gx:drawOrder&gt;
				&lt;coordinates&gt;-42.605256,-5.034269,0&lt;/coordinates&gt;
			&lt;/Point&gt;
		&lt;/Placemark&gt;
		&lt;Placemark&gt;
			&lt;name&gt;1588&lt;/name&gt;
			&lt;LookAt&gt;
				&lt;longitude&gt;-42.60555129213428&lt;/longitude&gt;
				&lt;latitude&gt;-5.033222077521494&lt;/latitude&gt;
				&lt;altitude&gt;0&lt;/altitude&gt;
				&lt;heading&gt;86.27756763204665&lt;/heading&gt;
				&lt;tilt&gt;19.63391337601418&lt;/tilt&gt;
				&lt;range&gt;729.1023295246769&lt;/range&gt;
				&lt;gx:altitudeMode&gt;relativeToSeaFloor&lt;/gx:altitudeMode&gt;
			&lt;/LookAt&gt;
			&lt;styleUrl&gt;#m_ylw-pushpin&lt;/styleUrl&gt;
			&lt;Point&gt;
				&lt;gx:drawOrder&gt;1&lt;/gx:drawOrder&gt;
				&lt;coordinates&gt;-42.604006,-5.033769,0&lt;/coordinates&gt;
			&lt;/Point&gt;
		&lt;/Placemark&gt;
		&lt;Placemark&gt;
			&lt;name&gt;1589&lt;/name&gt;
			&lt;LookAt&gt;
				&lt;longitude&gt;-42.6054194796935&lt;/longitude&gt;
				&lt;latitude&gt;-5.033552026187407&lt;/latitude&gt;
				&lt;altitude&gt;0&lt;/altitude&gt;
				&lt;heading&gt;86.29816639153501&lt;/heading&gt;
				&lt;tilt&gt;23.33748562721008&lt;/tilt&gt;
				&lt;range&gt;365.5134065574815&lt;/range&gt;
				&lt;gx:altitudeMode&gt;relativeToSeaFloor&lt;/gx:altitudeMode&gt;
			&lt;/LookAt&gt;
			&lt;styleUrl&gt;#m_ylw-pushpin&lt;/styleUrl&gt;
			&lt;Point&gt;
				&lt;gx:drawOrder&gt;1&lt;/gx:drawOrder&gt;
				&lt;coordinates&gt;-42.604028,-5.03379,0&lt;/coordinates&gt;
			&lt;/Point&gt;
		&lt;/Placemark&gt;
		&lt;Placemark&gt;
			&lt;name&gt;1586&lt;/name&gt;
			&lt;LookAt&gt;
				&lt;longitude&gt;-42.60450071996421&lt;/longitude&gt;
				&lt;latitude&gt;-5.03357644722783&lt;/latitude&gt;
				&lt;altitude&gt;0&lt;/altitude&gt;
				&lt;heading&gt;86.23743751774772&lt;/heading&gt;
				&lt;tilt&gt;14.93705583668332&lt;/tilt&gt;
				&lt;range&gt;198.3400732111448&lt;/range&gt;
				&lt;gx:altitudeMode&gt;relativeToSeaFloor&lt;/gx:altitudeMode&gt;
			&lt;/LookAt&gt;
			&lt;styleUrl&gt;#m_ylw-pushpin&lt;/styleUrl&gt;
			&lt;Point&gt;
				&lt;gx:drawOrder&gt;1&lt;/gx:drawOrder&gt;
				&lt;coordinates&gt;-42.599325,-5.030451,0&lt;/coordinates&gt;
			&lt;/Point&gt;
		&lt;/Placemark&gt;
		&lt;Placemark&gt;
			&lt;name&gt;1587&lt;/name&gt;
			&lt;LookAt&gt;
				&lt;longitude&gt;-42.60102594781108&lt;/longitude&gt;
				&lt;latitude&gt;-5.030918636586219&lt;/latitude&gt;
				&lt;altitude&gt;0&lt;/altitude&gt;
				&lt;heading&gt;86.20718187196817&lt;/heading&gt;
				&lt;tilt&gt;12.66402334141974&lt;/tilt&gt;
				&lt;range&gt;706.2727975804351&lt;/range&gt;
				&lt;gx:altitudeMode&gt;relativeToSeaFloor&lt;/gx:altitudeMode&gt;
			&lt;/LookAt&gt;
			&lt;styleUrl&gt;#m_ylw-pushpin&lt;/styleUrl&gt;
			&lt;Point&gt;
				&lt;gx:drawOrder&gt;1&lt;/gx:drawOrder&gt;
				&lt;coordinates&gt;-42.599328,-5.030446,0&lt;/coordinates&gt;
			&lt;/Point&gt;
		&lt;/Placemark&gt;
		&lt;Placemark&gt;
			&lt;name&gt;1583&lt;/name&gt;
			&lt;LookAt&gt;
				&lt;longitude&gt;-42.59973503036429&lt;/longitude&gt;
				&lt;latitude&gt;-5.030496729258078&lt;/latitude&gt;
				&lt;altitude&gt;0&lt;/altitude&gt;
				&lt;heading&gt;86.1380418512413&lt;/heading&gt;
				&lt;tilt&gt;9.397535565716584&lt;/tilt&gt;
				&lt;range&gt;171.9206706461913&lt;/range&gt;
				&lt;gx:altitudeMode&gt;relativeToSeaFloor&lt;/gx:altitudeMode&gt;
			&lt;/LookAt&gt;
			&lt;styleUrl&gt;#m_ylw-pushpin&lt;/styleUrl&gt;
			&lt;Point&gt;
				&lt;gx:drawOrder&gt;1&lt;/gx:drawOrder&gt;
				&lt;coordinates&gt;-42.603309,-5.026848,0&lt;/coordinates&gt;
			&lt;/Point&gt;
		&lt;/Placemark&gt;
		&lt;Placemark&gt;
			&lt;name&gt;1582&lt;/name&gt;
			&lt;LookAt&gt;
				&lt;longitude&gt;-42.60287432736028&lt;/longitude&gt;
				&lt;latitude&gt;-5.026707330775302&lt;/latitude&gt;
				&lt;altitude&gt;0&lt;/altitude&gt;
				&lt;heading&gt;86.32438734201398&lt;/heading&gt;
				&lt;tilt&gt;30.00089646663533&lt;/tilt&gt;
				&lt;range&gt;200.0449579286464&lt;/range&gt;
				&lt;gx:altitudeMode&gt;relativeToSeaFloor&lt;/gx:altitudeMode&gt;
			&lt;/LookAt&gt;
			&lt;styleUrl&gt;#m_ylw-pushpin&lt;/styleUrl&gt;
			&lt;Point&gt;
				&lt;gx:drawOrder&gt;1&lt;/gx:drawOrder&gt;
				&lt;coordinates&gt;-42.60338,-5.026805,0&lt;/coordinates&gt;
			&lt;/Point&gt;
		&lt;/Placemark&gt;
		&lt;Placemark&gt;
			&lt;name&gt;1584&lt;/name&gt;
			&lt;LookAt&gt;
				&lt;longitude&gt;-42.60297787745521&lt;/longitude&gt;
				&lt;latitude&gt;-5.026735908672207&lt;/latitude&gt;
				&lt;altitude&gt;0&lt;/altitude&gt;
				&lt;heading&gt;86.32439711447131&lt;/heading&gt;
				&lt;tilt&gt;30.00070379394748&lt;/tilt&gt;
				&lt;range&gt;155.7154257206148&lt;/range&gt;
				&lt;gx:altitudeMode&gt;relativeToSeaFloor&lt;/gx:altitudeMode&gt;
			&lt;/LookAt&gt;
			&lt;styleUrl&gt;#m_ylw-pushpin&lt;/styleUrl&gt;
			&lt;Point&gt;
				&lt;gx:drawOrder&gt;1&lt;/gx:drawOrder&gt;
				&lt;coordinates&gt;-42.599347,-5.030332,0&lt;/coordinates&gt;
			&lt;/Point&gt;
		&lt;/Placemark&gt;
		&lt;Placemark&gt;
			&lt;name&gt;1577&lt;/name&gt;
			&lt;LookAt&gt;
				&lt;longitude&gt;-42.59885895941077&lt;/longitude&gt;
				&lt;latitude&gt;-5.030201349395439&lt;/latitude&gt;
				&lt;altitude&gt;0&lt;/altitude&gt;
				&lt;heading&gt;86.3233948053569&lt;/heading&gt;
				&lt;tilt&gt;30.00095601456874&lt;/tilt&gt;
				&lt;range&gt;210.709628040668&lt;/range&gt;
				&lt;gx:altitudeMode&gt;relativeToSeaFloor&lt;/gx:altitudeMode&gt;
			&lt;/LookAt&gt;
			&lt;styleUrl&gt;#m_ylw-pushpin&lt;/styleUrl&gt;
			&lt;Point&gt;
				&lt;gx:drawOrder&gt;1&lt;/gx:drawOrder&gt;
				&lt;coordinates&gt;-42.613663,-5.026279,0&lt;/coordinates&gt;
			&lt;/Point&gt;
		&lt;/Placemark&gt;
		&lt;Placemark&gt;
			&lt;name&gt;1576&lt;/name&gt;
			&lt;LookAt&gt;
				&lt;longitude&gt;-42.61254167213954&lt;/longitude&gt;
				&lt;latitude&gt;-5.026147074482172&lt;/latitude&gt;
				&lt;altitude&gt;0&lt;/altitude&gt;
				&lt;heading&gt;86.32459494040019&lt;/heading&gt;
				&lt;tilt&gt;30.00201292353325&lt;/tilt&gt;
				&lt;range&gt;445.8607531741687&lt;/range&gt;
				&lt;gx:altitudeMode&gt;relativeToSeaFloor&lt;/gx:altitudeMode&gt;
			&lt;/LookAt&gt;
			&lt;styleUrl&gt;#m_ylw-pushpin&lt;/styleUrl&gt;
			&lt;Point&gt;
				&lt;gx:drawOrder&gt;1&lt;/gx:drawOrder&gt;
				&lt;coordinates&gt;-42.610878,-5.023764,0&lt;/coordinates&gt;
			&lt;/Point&gt;
		&lt;/Placemark&gt;
		&lt;Placemark&gt;
			&lt;name&gt;1578&lt;/name&gt;
			&lt;LookAt&gt;
				&lt;longitude&gt;-42.61077864875257&lt;/longitude&gt;
				&lt;latitude&gt;-5.022908172900184&lt;/latitude&gt;
				&lt;altitude&gt;0&lt;/altitude&gt;
				&lt;heading&gt;86.27449329913478&lt;/heading&gt;
				&lt;tilt&gt;19.43326747974934&lt;/tilt&gt;
				&lt;range&gt;289.0721893821164&lt;/range&gt;
				&lt;gx:altitudeMode&gt;relativeToSeaFloor&lt;/gx:altitudeMode&gt;
			&lt;/LookAt&gt;
			&lt;styleUrl&gt;#m_ylw-pushpin&lt;/styleUrl&gt;
			&lt;Point&gt;
				&lt;gx:drawOrder&gt;1&lt;/gx:drawOrder&gt;
				&lt;coordinates&gt;-42.613665,-5.026286,0&lt;/coordinates&gt;
			&lt;/Point&gt;
		&lt;/Placemark&gt;
		&lt;Placemark&gt;
			&lt;name&gt;1574&lt;/name&gt;
			&lt;LookAt&gt;
				&lt;longitude&gt;-42.61378649597262&lt;/longitude&gt;
				&lt;latitude&gt;-5.026122558497524&lt;/latitude&gt;
				&lt;altitude&gt;0&lt;/altitude&gt;
				&lt;heading&gt;86.31056387292729&lt;/heading&gt;
				&lt;tilt&gt;26.16031307955785&lt;/tilt&gt;
				&lt;range&gt;535.1858676195893&lt;/range&gt;
				&lt;gx:altitudeMode&gt;relativeToSeaFloor&lt;/gx:altitudeMode&gt;
			&lt;/LookAt&gt;
			&lt;styleUrl&gt;#m_ylw-pushpin&lt;/styleUrl&gt;
			&lt;Point&gt;
				&lt;gx:drawOrder&gt;1&lt;/gx:drawOrder&gt;
				&lt;coordinates&gt;-42.607874,-5.020103,0&lt;/coordinates&gt;
			&lt;/Point&gt;
		&lt;/Placemark&gt;
		&lt;Placemark&gt;
			&lt;name&gt;1575&lt;/name&gt;
			&lt;LookAt&gt;
				&lt;longitude&gt;-42.60785685955211&lt;/longitude&gt;
				&lt;latitude&gt;-5.02018111094021&lt;/latitude&gt;
				&lt;altitude&gt;0&lt;/altitude&gt;
				&lt;heading&gt;93.29688933908491&lt;/heading&gt;
				&lt;tilt&gt;20.590948579057&lt;/tilt&gt;
				&lt;range&gt;186.7814422728377&lt;/range&gt;
				&lt;gx:altitudeMode&gt;relativeToSeaFloor&lt;/gx:altitudeMode&gt;
			&lt;/LookAt&gt;
			&lt;styleUrl&gt;#m_ylw-pushpin&lt;/styleUrl&gt;
			&lt;Point&gt;
				&lt;gx:drawOrder&gt;1&lt;/gx:drawOrder&gt;
				&lt;coordinates&gt;-42.610872,-5.023763,0&lt;/coordinates&gt;
			&lt;/Point&gt;
		&lt;/Placemark&gt;
		&lt;Placemark&gt;
			&lt;name&gt;CAMINHO 1&lt;/name&gt;
			&lt;styleUrl&gt;#m_ylw-pushpin0&lt;/styleUrl&gt;
			&lt;LineString&gt;
				&lt;tessellate&gt;1&lt;/tessellate&gt;
				&lt;coordinates&gt;
					-42.60787345506694,-5.020102491474119,0 -42.60757040019949,-5.020482471767017,0 -42.60770543978828,-5.020713310245631,0 -42.61088115079873,-5.023773374945125,0 -42.61366441313861,-5.026277446668677,0 
				&lt;/coordinates&gt;
			&lt;/LineString&gt;
		&lt;/Placemark&gt;
		&lt;Placemark&gt;
			&lt;name&gt;CAMINHO 2&lt;/name&gt;
			&lt;styleUrl&gt;#m_ylw-pushpin0&lt;/styleUrl&gt;
			&lt;LineString&gt;
				&lt;tessellate&gt;1&lt;/tessellate&gt;
				&lt;coordinates&gt;
					-42.609488254811,-5.022489070934801,0 -42.60753747946029,-5.024251200947935,0 -42.60700726555999,-5.023939086157948,0 -42.60614441944895,-5.024745071926098,0 -42.6044785233769,-5.025853072676226,0 -42.60338247018937,-5.026770821792178,0 -42.60329448868896,-5.026839289700709,0 -42.60179660130187,-5.0279985091588,0 -42.60089743265613,-5.028467627667276,0 -42.60037251027827,-5.028941274670757,0 -42.6001728747929,-5.029371268998724,0 -42.59935406950011,-5.030315823441605,0 -42.59933310362193,-5.030435282318956,0 -42.60011202893158,-5.031383536092259,0 -42.60062991844205,-5.031675742137675,0 -42.60120582668337,-5.032273485360692,0 -42.60279975790806,-5.033057667721454,0 -42.60399105693155,-5.033727342489712,0 -42.6051265858776,-5.033368981596287,0 -42.60527609751313,-5.033437738330517,0 -42.60525890270208,-5.034186525193556,0 
				&lt;/coordinates&gt;
			&lt;/LineString&gt;
		&lt;/Placemark&gt;
		&lt;Placemark&gt;
			&lt;name&gt;Marcador de local sem título&lt;/name&gt;
			&lt;LookAt&gt;
				&lt;longitude&gt;-42.6082493619633&lt;/longitude&gt;
				&lt;latitude&gt;-5.017471777070116&lt;/latitude&gt;
				&lt;altitude&gt;0&lt;/altitude&gt;
				&lt;heading&gt;0.1371857982651142&lt;/heading&gt;
				&lt;tilt&gt;27.49402724861174&lt;/tilt&gt;
				&lt;range&gt;1042.139707472962&lt;/range&gt;
				&lt;gx:altitudeMode&gt;relativeToSeaFloor&lt;/gx:altitudeMode&gt;
			&lt;/LookAt&gt;
			&lt;styleUrl&gt;#m_ylw-pushpin&lt;/styleUrl&gt;
			&lt;Point&gt;
				&lt;gx:drawOrder&gt;1&lt;/gx:drawOrder&gt;
				&lt;coordinates&gt;-42.60999800692844,-5.016234702725282,0&lt;/coordinates&gt;
			&lt;/Point&gt;
		&lt;/Placemark&gt;
		&lt;Placemark&gt;
			&lt;name&gt;Marcador de local sem título&lt;/name&gt;
			&lt;LookAt&gt;
				&lt;longitude&gt;-42.61574374172914&lt;/longitude&gt;
				&lt;latitude&gt;-5.014799845934863&lt;/latitude&gt;
				&lt;altitude&gt;0&lt;/altitude&gt;
				&lt;heading&gt;67.73835148005945&lt;/heading&gt;
				&lt;tilt&gt;11.20074973076537&lt;/tilt&gt;
				&lt;range&gt;1118.952001610234&lt;/range&gt;
				&lt;gx:altitudeMode&gt;relativeToSeaFloor&lt;/gx:altitudeMode&gt;
			&lt;/LookAt&gt;
			&lt;styleUrl&gt;#m_ylw-pushpin&lt;/styleUrl&gt;
			&lt;Point&gt;
				&lt;gx:drawOrder&gt;1&lt;/gx:drawOrder&gt;
				&lt;coordinates&gt;-42.61784406476255,-5.015314550769788,0&lt;/coordinates&gt;
			&lt;/Point&gt;
		&lt;/Placemark&gt;
		&lt;Placemark&gt;
			&lt;name&gt;CAMINHO 3&lt;/name&gt;
			&lt;styleUrl&gt;#m_ylw-pushpin0&lt;/styleUrl&gt;
			&lt;LineString&gt;
				&lt;tessellate&gt;1&lt;/tessellate&gt;
				&lt;coordinates&gt;
					-42.6079009026091,-5.020096879215038,0 -42.60830267653306,-5.019649540255603,0 -42.60994522223342,-5.016249610179696,0 -42.61149409912124,-5.015762204948655,0 -42.61236042796958,-5.015281390198466,0 -42.61299273087523,-5.015179335023256,0 -42.61366491312643,-5.01517011296611,0 -42.6139872540874,-5.015092928226492,0 -42.61437628029278,-5.015225764346424,0 -42.61495816264961,-5.015137098141895,0 -42.61570423619829,-5.014999638803318,0 -42.61622039079098,-5.015294832590158,0 -42.61781045580506,-5.015268054900831,0 
				&lt;/coordinates&gt;
			&lt;/LineString&gt;
		&lt;/Placemark&gt;
		&lt;atom:link rel="app" href="https://www.google.com/earth/about/versions/#earth-pro" title="Google Earth Pro 7.3.6.10201"&gt;&lt;/atom:link&gt;
	&lt;/Folder&gt;
&lt;/Document&gt;
&lt;/kml&gt;</t>
  </si>
  <si>
    <t>REFORMA E AMPLIAÇÃO DE UM CAMPO DE FUTEBOL NA ZONA RURAL DO MUNICÍPIO DE TERESINA, PI.</t>
  </si>
  <si>
    <t>&lt;?xml version="1.0" encoding="UTF-8"?&gt;
&lt;kml xmlns="http://www.opengis.net/kml/2.2" xmlns:gx="http://www.google.com/kml/ext/2.2" xmlns:kml="http://www.opengis.net/kml/2.2" xmlns:atom="http://www.w3.org/2005/Atom"&gt;
&lt;Document id="16g-9XKMj-HPBFYKGaUPchQ_athvlkX2C"&gt;
	&lt;name&gt;REFORMA E AMPLIAÇÃO DE UM CAMPO DE FUTEBOL NA ZONA RURAL DO MUNICÍPIO DE TERESINA, PI.&lt;/name&gt;
	&lt;gx:CascadingStyle kml:id="__managed_style_2F686AC8523F143C2F78"&gt;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&lt;/BalloonStyle&gt;
		&lt;/Style&gt;
	&lt;/gx:CascadingStyle&gt;
	&lt;gx:CascadingStyle kml:id="__managed_style_1E391ABE5E3F143C2F78"&gt;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&lt;/BalloonStyle&gt;
		&lt;/Style&gt;
	&lt;/gx:CascadingStyle&gt;
	&lt;StyleMap id="__managed_style_02D3BCB26D3F143C2F78"&gt;
		&lt;Pair&gt;
			&lt;key&gt;normal&lt;/key&gt;
			&lt;styleUrl&gt;#__managed_style_1E391ABE5E3F143C2F78&lt;/styleUrl&gt;
		&lt;/Pair&gt;
		&lt;Pair&gt;
			&lt;key&gt;highlight&lt;/key&gt;
			&lt;styleUrl&gt;#__managed_style_2F686AC8523F143C2F78&lt;/styleUrl&gt;
		&lt;/Pair&gt;
	&lt;/StyleMap&gt;
	&lt;GroundOverlay id="0339183A1C3F14168A8C"&gt;
		&lt;name&gt;Área político-administrativa (nível 2)&lt;/name&gt;
		&lt;LookAt&gt;
			&lt;longitude&gt;-105&lt;/longitude&gt;
			&lt;latitude&gt;44&lt;/latitude&gt;
			&lt;altitude&gt;0&lt;/altitude&gt;
			&lt;heading&gt;0&lt;/heading&gt;
			&lt;tilt&gt;0&lt;/tilt&gt;
			&lt;gx:fovy&gt;30&lt;/gx:fovy&gt;
			&lt;range&gt;10000000&lt;/range&gt;
			&lt;altitudeMode&gt;absolute&lt;/altitudeMode&gt;
		&lt;/LookAt&gt;
		&lt;styleUrl&gt;#__managed_style_02D3BCB26D3F143C2F78&lt;/styleUrl&gt;
		&lt;drawOrder&gt;5&lt;/drawOrder&gt;
		&lt;Icon&gt;
			&lt;href&gt;data:image/gif;base64,R0lGODlhAQABAIAAAP///wAAACH5BAEAAAAALAAAAAABAAEAAAICRAEAOw==&lt;/href&gt;
		&lt;/Icon&gt;
		&lt;LatLonBox&gt;
			&lt;north&gt;85&lt;/north&gt;
			&lt;south&gt;-85&lt;/south&gt;
			&lt;east&gt;180&lt;/east&gt;
			&lt;west&gt;-180&lt;/west&gt;
		&lt;/LatLonBox&gt;
		&lt;gx:MapTilePyramid&gt;
			&lt;Link&gt;
				&lt;href&gt;earthdatalayer:0:CAESJDkyNTU4MzMwLTM4ZmQtNDQxNC1hNTI4LTk2M2Y1NzYwMmQ1Ng&lt;/href&gt;
			&lt;/Link&gt;
			&lt;gx:minLevel&gt;0&lt;/gx:minLevel&gt;
			&lt;gx:maxLevel&gt;22&lt;/gx:maxLevel&gt;
		&lt;/gx:MapTilePyramid&gt;
	&lt;/GroundOverlay&gt;
	&lt;Placemark id="0CD883F1743F144B3F51"&gt;
		&lt;name&gt;4°57&amp;apos;45.1&amp;quot;S 42°46&amp;apos;05.2&amp;quot;W&lt;/name&gt;
		&lt;LookAt&gt;
			&lt;longitude&gt;-42.76810899999999&lt;/longitude&gt;
			&lt;latitude&gt;-4.962528000000001&lt;/latitude&gt;
			&lt;altitude&gt;0&lt;/altitude&gt;
			&lt;heading&gt;0&lt;/heading&gt;
			&lt;tilt&gt;0&lt;/tilt&gt;
			&lt;gx:fovy&gt;35&lt;/gx:fovy&gt;
			&lt;range&gt;1052.108852582215&lt;/range&gt;
			&lt;altitudeMode&gt;relativeToGround&lt;/altitudeMode&gt;
		&lt;/LookAt&gt;
		&lt;styleUrl&gt;#__managed_style_02D3BCB26D3F143C2F78&lt;/styleUrl&gt;
		&lt;Point&gt;
			&lt;extrude&gt;1&lt;/extrude&gt;
			&lt;coordinates&gt;-42.768109,-4.962528,0&lt;/coordinates&gt;
		&lt;/Point&gt;
	&lt;/Placemark&gt;
&lt;/Document&gt;
&lt;/kml&gt;</t>
  </si>
  <si>
    <t>RECUPERAÇÃO DE ESTRADA VICINAL DE 7,90 KM DE EXTENSÃO NO MUNICÍPIO DE TERESINA – PI</t>
  </si>
  <si>
    <t>&lt;?xml version="1.0" encoding="UTF-8"?&gt;
&lt;kml xmlns="http://www.opengis.net/kml/2.2" xmlns:gx="http://www.google.com/kml/ext/2.2" xmlns:kml="http://www.opengis.net/kml/2.2" xmlns:atom="http://www.w3.org/2005/Atom"&gt;
&lt;Document id="document"&gt;
	&lt;name&gt;Mapa sem título&lt;/name&gt;
	&lt;gx:CascadingStyle kml:id="__managed_style_0A391D097B3F13DE3810_highlight"&gt;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kml:id="__managed_style_0A391D097B3F13DE3810_normal"&gt;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id="__managed_style_0A391D097B3F13DE3810"&gt;
		&lt;Pair&gt;
			&lt;key&gt;normal&lt;/key&gt;
			&lt;styleUrl&gt;#__managed_style_0A391D097B3F13DE3810_normal&lt;/styleUrl&gt;
		&lt;/Pair&gt;
		&lt;Pair&gt;
			&lt;key&gt;highlight&lt;/key&gt;
			&lt;styleUrl&gt;#__managed_style_0A391D097B3F13DE3810_highlight&lt;/styleUrl&gt;
		&lt;/Pair&gt;
	&lt;/StyleMap&gt;
	&lt;Placemark id="0730D1A3443F13DE37E8"&gt;
		&lt;name&gt;Caminho sem título&lt;/name&gt;
		&lt;LookAt&gt;
			&lt;longitude&gt;-42.73866247676858&lt;/longitude&gt;
			&lt;latitude&gt;-5.25940508578962&lt;/latitude&gt;
			&lt;altitude&gt;137.5479028271248&lt;/altitude&gt;
			&lt;heading&gt;0&lt;/heading&gt;
			&lt;tilt&gt;0&lt;/tilt&gt;
			&lt;gx:fovy&gt;35&lt;/gx:fovy&gt;
			&lt;range&gt;8008.899676934816&lt;/range&gt;
			&lt;altitudeMode&gt;absolute&lt;/altitudeMode&gt;
		&lt;/LookAt&gt;
		&lt;styleUrl&gt;#__managed_style_0A391D097B3F13DE3810&lt;/styleUrl&gt;
		&lt;LineString&gt;
			&lt;coordinates&gt;
				-42.73071182146769,-5.24982220181677,0 -42.74563499846486,-5.26617938365611,0 -42.74036171408959,-5.270693501358227,0 -42.73832272450677,-5.268902159357141,0 -42.74365888129579,-5.264114725604996,0 
			&lt;/coordinates&gt;
		&lt;/LineString&gt;
	&lt;/Placemark&gt;
	&lt;Placemark id="010913C5103F13DE6DDC"&gt;
		&lt;name&gt;Caminho sem título&lt;/name&gt;
		&lt;LookAt&gt;
			&lt;longitude&gt;-42.739240148911&lt;/longitude&gt;
			&lt;latitude&gt;-5.259592662358528&lt;/latitude&gt;
			&lt;altitude&gt;129.2503885608978&lt;/altitude&gt;
			&lt;heading&gt;0&lt;/heading&gt;
			&lt;tilt&gt;0&lt;/tilt&gt;
			&lt;gx:fovy&gt;35&lt;/gx:fovy&gt;
			&lt;range&gt;3849.533360237839&lt;/range&gt;
			&lt;altitudeMode&gt;absolute&lt;/altitudeMode&gt;
		&lt;/LookAt&gt;
		&lt;styleUrl&gt;#__managed_style_0A391D097B3F13DE3810&lt;/styleUrl&gt;
		&lt;LineString&gt;
			&lt;coordinates&gt;
				-42.73979840366961,-5.259766381327373,0 -42.73780895237242,-5.26176489042342,0 
			&lt;/coordinates&gt;
		&lt;/LineString&gt;
	&lt;/Placemark&gt;
	&lt;Placemark id="08F75044573F13DE9BD3"&gt;
		&lt;name&gt;Caminho sem título&lt;/name&gt;
		&lt;LookAt&gt;
			&lt;longitude&gt;-42.73849408556342&lt;/longitude&gt;
			&lt;latitude&gt;-5.257410379889789&lt;/latitude&gt;
			&lt;altitude&gt;137.247605946179&lt;/altitude&gt;
			&lt;heading&gt;0&lt;/heading&gt;
			&lt;tilt&gt;0&lt;/tilt&gt;
			&lt;gx:fovy&gt;35&lt;/gx:fovy&gt;
			&lt;range&gt;3841.536161354743&lt;/range&gt;
			&lt;altitudeMode&gt;absolute&lt;/altitudeMode&gt;
		&lt;/LookAt&gt;
		&lt;styleUrl&gt;#__managed_style_0A391D097B3F13DE3810&lt;/styleUrl&gt;
		&lt;LineString&gt;
			&lt;coordinates&gt;
				-42.73627421764756,-5.251534957407313,0 -42.72928715010777,-5.257864067427048,0 
			&lt;/coordinates&gt;
		&lt;/LineString&gt;
	&lt;/Placemark&gt;
	&lt;Placemark id="00A4D753263F13DF1306"&gt;
		&lt;name&gt;Caminho sem título&lt;/name&gt;
		&lt;LookAt&gt;
			&lt;longitude&gt;-42.73478132977058&lt;/longitude&gt;
			&lt;latitude&gt;-5.26788291294609&lt;/latitude&gt;
			&lt;altitude&gt;150.3051108194804&lt;/altitude&gt;
			&lt;heading&gt;-13.7871366951851&lt;/heading&gt;
			&lt;tilt&gt;18.7551912638288&lt;/tilt&gt;
			&lt;gx:fovy&gt;35&lt;/gx:fovy&gt;
			&lt;range&gt;3985.16644664167&lt;/range&gt;
			&lt;altitudeMode&gt;absolute&lt;/altitudeMode&gt;
		&lt;/LookAt&gt;
		&lt;styleUrl&gt;#__managed_style_0A391D097B3F13DE3810&lt;/styleUrl&gt;
		&lt;LineString&gt;
			&lt;coordinates&gt;
				-42.73878482274326,-5.269400930503094,0 -42.73811498297286,-5.269806807543204,0 -42.73756365446915,-5.270339607931339,0 -42.73675966780635,-5.270550503898447,0 -42.73643337497423,-5.270652774295294,0 -42.73596437254397,-5.271113086389205,0 -42.73524413225155,-5.270865165565616,0 -42.7346094668513,-5.270663690398672,0 -42.73431434673902,-5.270473542453531,0 -42.73321685303483,-5.270463293861865,0 -42.73251787766711,-5.270629582600117,0 -42.73165870960529,-5.270569238905924,0 -42.7307663053386,-5.270677175125936,0 -42.72981356353766,-5.270861280573738,0 -42.72888647803337,-5.270952328574313,0 -42.72797244871099,-5.271265481471636,0 -42.72691697443125,-5.271253984457392,0 
			&lt;/coordinates&gt;
		&lt;/LineString&gt;
	&lt;/Placemark&gt;
	&lt;Placemark id="08031D09E93F13DF52EC"&gt;
		&lt;name&gt;Caminho sem título&lt;/name&gt;
		&lt;LookAt&gt;
			&lt;longitude&gt;-42.73478132977058&lt;/longitude&gt;
			&lt;latitude&gt;-5.26788291294609&lt;/latitude&gt;
			&lt;altitude&gt;150.3051108194804&lt;/altitude&gt;
			&lt;heading&gt;-13.7871366951851&lt;/heading&gt;
			&lt;tilt&gt;18.7551912638288&lt;/tilt&gt;
			&lt;gx:fovy&gt;35&lt;/gx:fovy&gt;
			&lt;range&gt;3985.16644664167&lt;/range&gt;
			&lt;altitudeMode&gt;absolute&lt;/altitudeMode&gt;
		&lt;/LookAt&gt;
		&lt;styleUrl&gt;#__managed_style_0A391D097B3F13DE3810&lt;/styleUrl&gt;
		&lt;LineString&gt;
			&lt;coordinates&gt;
				-42.73021001639815,-5.270689023951136,0 -42.72920646665755,-5.270076324704401,0 -42.72996419001397,-5.268737499725367,0 -42.72774364104389,-5.267446117683492,0 
			&lt;/coordinates&gt;
		&lt;/LineString&gt;
	&lt;/Placemark&gt;
	&lt;Placemark id="0BDF05BBFD3F13DF8518"&gt;
		&lt;name&gt;Caminho sem título&lt;/name&gt;
		&lt;LookAt&gt;
			&lt;longitude&gt;-42.72957252813885&lt;/longitude&gt;
			&lt;latitude&gt;-5.26901930255861&lt;/latitude&gt;
			&lt;altitude&gt;93.46876737963015&lt;/altitude&gt;
			&lt;heading&gt;-13.78733936853321&lt;/heading&gt;
			&lt;tilt&gt;18.74598382769139&lt;/tilt&gt;
			&lt;gx:fovy&gt;35&lt;/gx:fovy&gt;
			&lt;range&gt;798.9325916144298&lt;/range&gt;
			&lt;altitudeMode&gt;absolute&lt;/altitudeMode&gt;
		&lt;/LookAt&gt;
		&lt;styleUrl&gt;#__managed_style_0A391D097B3F13DE3810&lt;/styleUrl&gt;
		&lt;LineString&gt;
			&lt;coordinates&gt;
				-42.7299579187715,-5.268743819816552,0 -42.7312204712979,-5.269508504507977,0 
			&lt;/coordinates&gt;
		&lt;/LineString&gt;
	&lt;/Placemark&gt;
	&lt;Placemark id="0B00260D893F13DFA254"&gt;
		&lt;name&gt;Marcador de local sem título&lt;/name&gt;
		&lt;LookAt&gt;
			&lt;longitude&gt;-42.72920116314644&lt;/longitude&gt;
			&lt;latitude&gt;-5.255444816712682&lt;/latitude&gt;
			&lt;altitude&gt;99.75783688382845&lt;/altitude&gt;
			&lt;heading&gt;-13.787050426094&lt;/heading&gt;
			&lt;tilt&gt;18.75914386244215&lt;/tilt&gt;
			&lt;gx:fovy&gt;35&lt;/gx:fovy&gt;
			&lt;range&gt;5352.918119119713&lt;/range&gt;
			&lt;altitudeMode&gt;absolute&lt;/altitudeMode&gt;
		&lt;/LookAt&gt;
		&lt;styleUrl&gt;#__managed_style_0A391D097B3F13DE3810&lt;/styleUrl&gt;
		&lt;Point&gt;
			&lt;coordinates&gt;-42.73075855591584,-5.249824717994636,101.1423802671008&lt;/coordinates&gt;
		&lt;/Point&gt;
	&lt;/Placemark&gt;
&lt;/Document&gt;
&lt;/kml&gt;</t>
  </si>
  <si>
    <t>REFORMA DE CAMPO DE FUTEBOL LOCAL: FAZENDA SOARES, ZONA RURAL DE TERESINA-PI CONTRATO 49/2024</t>
  </si>
  <si>
    <t>FAZENDA SOARES</t>
  </si>
  <si>
    <t>&lt;?xml version="1.0" encoding="UTF-8"?&gt;
&lt;kml xmlns="http://www.opengis.net/kml/2.2" xmlns:gx="http://www.google.com/kml/ext/2.2" xmlns:kml="http://www.opengis.net/kml/2.2" xmlns:atom="http://www.w3.org/2005/Atom"&gt;
&lt;Document&gt;
	&lt;name&gt;12356 ZONA RURAL DE TERESINA-PI.kmz&lt;/name&gt;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&lt;Folder&gt;
		&lt;name&gt;12356 ZONA RURAL DE TERESINA-PI&lt;/name&gt;
		&lt;open&gt;1&lt;/open&gt;
		&lt;Placemark&gt;
			&lt;name&gt;1&lt;/name&gt;
			&lt;LookAt&gt;
				&lt;longitude&gt;-42.80230652496249&lt;/longitude&gt;
				&lt;latitude&gt;-5.096124189378259&lt;/latitude&gt;
				&lt;altitude&gt;0&lt;/altitude&gt;
				&lt;heading&gt;2.217336815970352e-09&lt;/heading&gt;
				&lt;tilt&gt;0&lt;/tilt&gt;
				&lt;range&gt;29555.3607956373&lt;/range&gt;
				&lt;gx:altitudeMode&gt;relativeToSeaFloor&lt;/gx:altitudeMode&gt;
			&lt;/LookAt&gt;
			&lt;styleUrl&gt;#m_ylw-pushpin&lt;/styleUrl&gt;
			&lt;Point&gt;
				&lt;gx:drawOrder&gt;1&lt;/gx:drawOrder&gt;
				&lt;coordinates&gt;-42.8111,-4.916512,0&lt;/coordinates&gt;
			&lt;/Point&gt;
		&lt;/Placemark&gt;
		&lt;atom:link rel="app" href="https://www.google.com/earth/about/versions/#earth-pro" title="Google Earth Pro 7.3.6.10201"&gt;&lt;/atom:link&gt;
	&lt;/Folder&gt;
&lt;/Document&gt;
&lt;/kml&gt;</t>
  </si>
  <si>
    <t>PAVIMENTAÇÃO EM PARALELEPIPEDO COM EXTENSÃO DE 4.620,00 M², NO ASSENTAMENTO EL SHADAY NA ZONA RURAL DO MUNICIPIO DE TERESINA-PI, CONTRATO 12/2024 - FRANCA</t>
  </si>
  <si>
    <t>ASSENTAMENTO  EL SHADAY</t>
  </si>
  <si>
    <t>&lt;?xml version="1.0" encoding="UTF-8"?&gt;
&lt;kml xmlns="http://www.opengis.net/kml/2.2" xmlns:gx="http://www.google.com/kml/ext/2.2" xmlns:kml="http://www.opengis.net/kml/2.2" xmlns:atom="http://www.w3.org/2005/Atom"&gt;
&lt;Document&gt;
	&lt;name&gt;PAV TERESINA ASS EL SHADAY.kmz&lt;/name&gt;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&lt;LineStyle&gt;
			&lt;color&gt;ff00ffff&lt;/color&gt;
			&lt;width&gt;6&lt;/width&gt;
		&lt;/LineStyle&gt;
	&lt;/Style&gt;
	&lt;Style id="s_ylw-pushpin_hl"&gt;
		&lt;IconStyle&gt;
			&lt;scale&gt;1.3&lt;/scale&gt;
			&lt;Icon&gt;
				&lt;href&gt;http://maps.google.com/mapfiles/kml/pushpin/ylw-pushpin.png&lt;/href&gt;
			&lt;/Icon&gt;
			&lt;hotSpot x="20" y="2" xunits="pixels" yunits="pixels"/&gt;
		&lt;/IconStyle&gt;
		&lt;LineStyle&gt;
			&lt;color&gt;ff00ffff&lt;/color&gt;
			&lt;width&gt;6&lt;/width&gt;
		&lt;/LineStyle&gt;
	&lt;/Style&gt;
	&lt;Folder&gt;
		&lt;name&gt;PAV TERESINA ASS EL SHADAY&lt;/name&gt;
		&lt;open&gt;1&lt;/open&gt;
		&lt;Placemark&gt;
			&lt;name&gt;RUA OTONIEL ARAUJO CHAVES&lt;/name&gt;
			&lt;styleUrl&gt;#m_ylw-pushpin&lt;/styleUrl&gt;
			&lt;LineString&gt;
				&lt;tessellate&gt;1&lt;/tessellate&gt;
				&lt;coordinates&gt;
					-42.69623962884594,-5.04980057514178,0 -42.69613041290419,-5.048903234814914,0 -42.69585565920774,-5.047828972367071,0 
				&lt;/coordinates&gt;
			&lt;/LineString&gt;
		&lt;/Placemark&gt;
		&lt;Placemark&gt;
			&lt;name&gt;RUA ANTONIO JOAQUIM FELIX&lt;/name&gt;
			&lt;styleUrl&gt;#m_ylw-pushpin&lt;/styleUrl&gt;
			&lt;LineString&gt;
				&lt;tessellate&gt;1&lt;/tessellate&gt;
				&lt;coordinates&gt;
					-42.70003531549678,-5.049642337106203,0 -42.69963863926463,-5.049748224995251,0 -42.69916214307131,-5.049925382447063,0 -42.69824526504291,-5.050064969566888,0 -42.69740990043901,-5.0502179483537,0 -42.69720551056803,-5.050230982527131,0 -42.69706060038239,-5.050185634994901,0 -42.69665047893003,-5.050008166650649,0 -42.69624393306003,-5.049817743125899,0 
				&lt;/coordinates&gt;
			&lt;/LineString&gt;
		&lt;/Placemark&gt;
		&lt;atom:link rel="app" href="https://www.google.com/earth/about/versions/#earth-pro" title="Google Earth Pro 7.3.6.10441"&gt;&lt;/atom:link&gt;
	&lt;/Folder&gt;
&lt;/Document&gt;
&lt;/kml&gt;</t>
  </si>
  <si>
    <t>RECUPERAÇÃO DE ESTRADA VICINAL COM REVESTIMENTO PRIMÁRIO DE 12,51KM NO MUNICÍPIO DE TERESINA-PI. CONTRATO 63/2025</t>
  </si>
  <si>
    <t>CHAPADINHA SUL, CAMPESTRE,ASSENTAMENTO ALTO BONITO, ANAJÁS, CAJAZEIRAS, SERRA DO GAVIÃO</t>
  </si>
  <si>
    <t>&lt;?xml version="1.0" encoding="UTF-8"?&gt;
&lt;kml xmlns="http://www.opengis.net/kml/2.2" xmlns:gx="http://www.google.com/kml/ext/2.2" xmlns:kml="http://www.opengis.net/kml/2.2" xmlns:atom="http://www.w3.org/2005/Atom"&gt;
&lt;Document&gt;
	&lt;name&gt;TERESINA.kmz&lt;/name&gt;
	&lt;StyleMap id="m_ylw-pushpin"&gt;
		&lt;Pair&gt;
			&lt;key&gt;normal&lt;/key&gt;
			&lt;styleUrl&gt;#s_ylw-pushpin0&lt;/styleUrl&gt;
		&lt;/Pair&gt;
		&lt;Pair&gt;
			&lt;key&gt;highlight&lt;/key&gt;
			&lt;styleUrl&gt;#s_ylw-pushpin_hl0&lt;/styleUrl&gt;
		&lt;/Pair&gt;
	&lt;/StyleMap&gt;
	&lt;StyleMap id="m_ylw-pushpin0"&gt;
		&lt;Pair&gt;
			&lt;key&gt;normal&lt;/key&gt;
			&lt;styleUrl&gt;#s_ylw-pushpin&lt;/styleUrl&gt;
		&lt;/Pair&gt;
		&lt;Pair&gt;
			&lt;key&gt;highlight&lt;/key&gt;
			&lt;styleUrl&gt;#s_ylw-pushpin_hl&lt;/styleUrl&gt;
		&lt;/Pair&gt;
	&lt;/StyleMap&gt;
	&lt;StyleMap id="msn_ylw-pushpin3"&gt;
		&lt;Pair&gt;
			&lt;key&gt;normal&lt;/key&gt;
			&lt;styleUrl&gt;#sn_ylw-pushpin6&lt;/styleUrl&gt;
		&lt;/Pair&gt;
		&lt;Pair&gt;
			&lt;key&gt;highlight&lt;/key&gt;
			&lt;styleUrl&gt;#sh_ylw-pushpin3&lt;/styleUrl&gt;
		&lt;/Pair&gt;
	&lt;/StyleMap&gt;
	&lt;StyleMap id="msn_ylw-pushpin4"&gt;
		&lt;Pair&gt;
			&lt;key&gt;normal&lt;/key&gt;
			&lt;styleUrl&gt;#sn_ylw-pushpin1&lt;/styleUrl&gt;
		&lt;/Pair&gt;
		&lt;Pair&gt;
			&lt;key&gt;highlight&lt;/key&gt;
			&lt;styleUrl&gt;#sh_ylw-pushpin4&lt;/styleUrl&gt;
		&lt;/Pair&gt;
	&lt;/StyleMap&gt;
	&lt;StyleMap id="msn_ylw-pushpin"&gt;
		&lt;Pair&gt;
			&lt;key&gt;normal&lt;/key&gt;
			&lt;styleUrl&gt;#sn_ylw-pushpin3&lt;/styleUrl&gt;
		&lt;/Pair&gt;
		&lt;Pair&gt;
			&lt;key&gt;highlight&lt;/key&gt;
			&lt;styleUrl&gt;#sh_ylw-pushpin6&lt;/styleUrl&gt;
		&lt;/Pair&gt;
	&lt;/StyleMap&gt;
	&lt;StyleMap id="msn_ylw-pushpin5"&gt;
		&lt;Pair&gt;
			&lt;key&gt;normal&lt;/key&gt;
			&lt;styleUrl&gt;#sn_ylw-pushpin2&lt;/styleUrl&gt;
		&lt;/Pair&gt;
		&lt;Pair&gt;
			&lt;key&gt;highlight&lt;/key&gt;
			&lt;styleUrl&gt;#sh_ylw-pushpin0&lt;/styleUrl&gt;
		&lt;/Pair&gt;
	&lt;/StyleMap&gt;
	&lt;StyleMap id="msn_ylw-pushpin0"&gt;
		&lt;Pair&gt;
			&lt;key&gt;normal&lt;/key&gt;
			&lt;styleUrl&gt;#sn_ylw-pushpin&lt;/styleUrl&gt;
		&lt;/Pair&gt;
		&lt;Pair&gt;
			&lt;key&gt;highlight&lt;/key&gt;
			&lt;styleUrl&gt;#sh_ylw-pushpin&lt;/styleUrl&gt;
		&lt;/Pair&gt;
	&lt;/StyleMap&gt;
	&lt;StyleMap id="msn_ylw-pushpin1"&gt;
		&lt;Pair&gt;
			&lt;key&gt;normal&lt;/key&gt;
			&lt;styleUrl&gt;#sn_ylw-pushpin7&lt;/styleUrl&gt;
		&lt;/Pair&gt;
		&lt;Pair&gt;
			&lt;key&gt;highlight&lt;/key&gt;
			&lt;styleUrl&gt;#sh_ylw-pushpin5&lt;/styleUrl&gt;
		&lt;/Pair&gt;
	&lt;/StyleMap&gt;
	&lt;StyleMap id="msn_ylw-pushpin2"&gt;
		&lt;Pair&gt;
			&lt;key&gt;normal&lt;/key&gt;
			&lt;styleUrl&gt;#sn_ylw-pushpin5&lt;/styleUrl&gt;
		&lt;/Pair&gt;
		&lt;Pair&gt;
			&lt;key&gt;highlight&lt;/key&gt;
			&lt;styleUrl&gt;#sh_ylw-pushpin2&lt;/styleUrl&gt;
		&lt;/Pair&gt;
	&lt;/StyleMap&gt;
	&lt;StyleMap id="msn_ylw-pushpin6"&gt;
		&lt;Pair&gt;
			&lt;key&gt;normal&lt;/key&gt;
			&lt;styleUrl&gt;#sn_ylw-pushpin4&lt;/styleUrl&gt;
		&lt;/Pair&gt;
		&lt;Pair&gt;
			&lt;key&gt;highlight&lt;/key&gt;
			&lt;styleUrl&gt;#sh_ylw-pushpin7&lt;/styleUrl&gt;
		&lt;/Pair&gt;
	&lt;/StyleMap&gt;
	&lt;StyleMap id="msn_ylw-pushpin7"&gt;
		&lt;Pair&gt;
			&lt;key&gt;normal&lt;/key&gt;
			&lt;styleUrl&gt;#sn_ylw-pushpin0&lt;/styleUrl&gt;
		&lt;/Pair&gt;
		&lt;Pair&gt;
			&lt;key&gt;highlight&lt;/key&gt;
			&lt;styleUrl&gt;#sh_ylw-pushpin8&lt;/styleUrl&gt;
		&lt;/Pair&gt;
	&lt;/StyleMap&gt;
	&lt;StyleMap id="msn_ylw-pushpin8"&gt;
		&lt;Pair&gt;
			&lt;key&gt;normal&lt;/key&gt;
			&lt;styleUrl&gt;#sn_ylw-pushpin8&lt;/styleUrl&gt;
		&lt;/Pair&gt;
		&lt;Pair&gt;
			&lt;key&gt;highlight&lt;/key&gt;
			&lt;styleUrl&gt;#sh_ylw-pushpin1&lt;/styleUrl&gt;
		&lt;/Pair&gt;
	&lt;/StyleMap&gt;
	&lt;Style id="s_ylw-pushpin"&gt;
		&lt;IconStyle&gt;
			&lt;scale&gt;1.1&lt;/scale&gt;
			&lt;Icon&gt;
				&lt;href&gt;http://maps.google.com/mapfiles/kml/pushpin/ylw-pushpin.png&lt;/href&gt;
			&lt;/Icon&gt;
			&lt;hotSpot x="20" y="2" xunits="pixels" yunits="pixels"/&gt;
		&lt;/IconStyle&gt;
	&lt;/Style&gt;
	&lt;Style id="s_ylw-pushpin0"&gt;
		&lt;IconStyle&gt;
			&lt;scale&gt;1.1&lt;/scale&gt;
			&lt;Icon&gt;
				&lt;href&gt;http://maps.google.com/mapfiles/kml/pushpin/ylw-pushpin.png&lt;/href&gt;
			&lt;/Icon&gt;
			&lt;hotSpot x="20" y="2" xunits="pixels" yunits="pixels"/&gt;
		&lt;/IconStyle&gt;
		&lt;LineStyle&gt;
			&lt;color&gt;ff0000aa&lt;/color&gt;
			&lt;width&gt;5&lt;/width&gt;
		&lt;/LineStyle&gt;
	&lt;/Style&gt;
	&lt;Style id="s_ylw-pushpin_hl"&gt;
		&lt;IconStyle&gt;
			&lt;scale&gt;1.3&lt;/scale&gt;
			&lt;Icon&gt;
				&lt;href&gt;http://maps.google.com/mapfiles/kml/pushpin/ylw-pushpin.png&lt;/href&gt;
			&lt;/Icon&gt;
			&lt;hotSpot x="20" y="2" xunits="pixels" yunits="pixels"/&gt;
		&lt;/IconStyle&gt;
	&lt;/Style&gt;
	&lt;Style id="s_ylw-pushpin_hl0"&gt;
		&lt;IconStyle&gt;
			&lt;scale&gt;1.3&lt;/scale&gt;
			&lt;Icon&gt;
				&lt;href&gt;http://maps.google.com/mapfiles/kml/pushpin/ylw-pushpin.png&lt;/href&gt;
			&lt;/Icon&gt;
			&lt;hotSpot x="20" y="2" xunits="pixels" yunits="pixels"/&gt;
		&lt;/IconStyle&gt;
		&lt;LineStyle&gt;
			&lt;color&gt;ff0000aa&lt;/color&gt;
			&lt;width&gt;5&lt;/width&gt;
		&lt;/LineStyle&gt;
	&lt;/Style&gt;
	&lt;Style id="sh_ylw-pushpin4"&gt;
		&lt;IconStyle&gt;
			&lt;scale&gt;1.3&lt;/scale&gt;
			&lt;Icon&gt;
				&lt;href&gt;http://maps.google.com/mapfiles/kml/pushpin/ylw-pushpin.png&lt;/href&gt;
			&lt;/Icon&gt;
			&lt;hotSpot x="20" y="2" xunits="pixels" yunits="pixels"/&gt;
		&lt;/IconStyle&gt;
		&lt;BalloonStyle&gt;
		&lt;/BalloonStyle&gt;
		&lt;LineStyle&gt;
			&lt;color&gt;ff7f00aa&lt;/color&gt;
			&lt;width&gt;5&lt;/width&gt;
		&lt;/LineStyle&gt;
	&lt;/Style&gt;
	&lt;Style id="sh_ylw-pushpin5"&gt;
		&lt;IconStyle&gt;
			&lt;scale&gt;1.3&lt;/scale&gt;
			&lt;Icon&gt;
				&lt;href&gt;http://maps.google.com/mapfiles/kml/pushpin/ylw-pushpin.png&lt;/href&gt;
			&lt;/Icon&gt;
			&lt;hotSpot x="20" y="2" xunits="pixels" yunits="pixels"/&gt;
		&lt;/IconStyle&gt;
		&lt;BalloonStyle&gt;
		&lt;/BalloonStyle&gt;
		&lt;LineStyle&gt;
			&lt;color&gt;ff7faa00&lt;/color&gt;
			&lt;width&gt;5&lt;/width&gt;
		&lt;/LineStyle&gt;
	&lt;/Style&gt;
	&lt;Style id="sh_ylw-pushpin6"&gt;
		&lt;IconStyle&gt;
			&lt;scale&gt;1.3&lt;/scale&gt;
			&lt;Icon&gt;
				&lt;href&gt;http://maps.google.com/mapfiles/kml/pushpin/ylw-pushpin.png&lt;/href&gt;
			&lt;/Icon&gt;
			&lt;hotSpot x="20" y="2" xunits="pixels" yunits="pixels"/&gt;
		&lt;/IconStyle&gt;
		&lt;BalloonStyle&gt;
		&lt;/BalloonStyle&gt;
		&lt;LineStyle&gt;
			&lt;color&gt;ff7fff00&lt;/color&gt;
			&lt;width&gt;5&lt;/width&gt;
		&lt;/LineStyle&gt;
	&lt;/Style&gt;
	&lt;Style id="sh_ylw-pushpin"&gt;
		&lt;IconStyle&gt;
			&lt;scale&gt;1.3&lt;/scale&gt;
			&lt;Icon&gt;
				&lt;href&gt;http://maps.google.com/mapfiles/kml/pushpin/ylw-pushpin.png&lt;/href&gt;
			&lt;/Icon&gt;
			&lt;hotSpot x="20" y="2" xunits="pixels" yunits="pixels"/&gt;
		&lt;/IconStyle&gt;
		&lt;BalloonStyle&gt;
		&lt;/BalloonStyle&gt;
		&lt;LineStyle&gt;
			&lt;color&gt;ff0055aa&lt;/color&gt;
			&lt;width&gt;5&lt;/width&gt;
		&lt;/LineStyle&gt;
	&lt;/Style&gt;
	&lt;Style id="sh_ylw-pushpin0"&gt;
		&lt;IconStyle&gt;
			&lt;scale&gt;1.3&lt;/scale&gt;
			&lt;Icon&gt;
				&lt;href&gt;http://maps.google.com/mapfiles/kml/pushpin/ylw-pushpin.png&lt;/href&gt;
			&lt;/Icon&gt;
			&lt;hotSpot x="20" y="2" xunits="pixels" yunits="pixels"/&gt;
		&lt;/IconStyle&gt;
		&lt;BalloonStyle&gt;
		&lt;/BalloonStyle&gt;
		&lt;LineStyle&gt;
			&lt;color&gt;ffff00aa&lt;/color&gt;
			&lt;width&gt;5&lt;/width&gt;
		&lt;/LineStyle&gt;
	&lt;/Style&gt;
	&lt;Style id="sh_ylw-pushpin7"&gt;
		&lt;IconStyle&gt;
			&lt;scale&gt;1.3&lt;/scale&gt;
			&lt;Icon&gt;
				&lt;href&gt;http://maps.google.com/mapfiles/kml/pushpin/ylw-pushpin.png&lt;/href&gt;
			&lt;/Icon&gt;
			&lt;hotSpot x="20" y="2" xunits="pixels" yunits="pixels"/&gt;
		&lt;/IconStyle&gt;
		&lt;BalloonStyle&gt;
		&lt;/BalloonStyle&gt;
		&lt;LineStyle&gt;
			&lt;color&gt;ff7f5500&lt;/color&gt;
			&lt;width&gt;5&lt;/width&gt;
		&lt;/LineStyle&gt;
	&lt;/Style&gt;
	&lt;Style id="sh_ylw-pushpin1"&gt;
		&lt;IconStyle&gt;
			&lt;scale&gt;1.3&lt;/scale&gt;
			&lt;Icon&gt;
				&lt;href&gt;http://maps.google.com/mapfiles/kml/pushpin/ylw-pushpin.png&lt;/href&gt;
			&lt;/Icon&gt;
			&lt;hotSpot x="20" y="2" xunits="pixels" yunits="pixels"/&gt;
		&lt;/IconStyle&gt;
		&lt;BalloonStyle&gt;
		&lt;/BalloonStyle&gt;
		&lt;LineStyle&gt;
			&lt;color&gt;ff7f55aa&lt;/color&gt;
			&lt;width&gt;5&lt;/width&gt;
		&lt;/LineStyle&gt;
	&lt;/Style&gt;
	&lt;Style id="sh_ylw-pushpin8"&gt;
		&lt;IconStyle&gt;
			&lt;scale&gt;1.3&lt;/scale&gt;
			&lt;Icon&gt;
				&lt;href&gt;http://maps.google.com/mapfiles/kml/pushpin/ylw-pushpin.png&lt;/href&gt;
			&lt;/Icon&gt;
			&lt;hotSpot x="20" y="2" xunits="pixels" yunits="pixels"/&gt;
		&lt;/IconStyle&gt;
		&lt;BalloonStyle&gt;
		&lt;/BalloonStyle&gt;
		&lt;LineStyle&gt;
			&lt;color&gt;ff00ffaa&lt;/color&gt;
			&lt;width&gt;5&lt;/width&gt;
		&lt;/LineStyle&gt;
	&lt;/Style&gt;
	&lt;Style id="sh_ylw-pushpin2"&gt;
		&lt;IconStyle&gt;
			&lt;scale&gt;1.3&lt;/scale&gt;
			&lt;Icon&gt;
				&lt;href&gt;http://maps.google.com/mapfiles/kml/pushpin/ylw-pushpin.png&lt;/href&gt;
			&lt;/Icon&gt;
			&lt;hotSpot x="20" y="2" xunits="pixels" yunits="pixels"/&gt;
		&lt;/IconStyle&gt;
		&lt;BalloonStyle&gt;
		&lt;/BalloonStyle&gt;
		&lt;LineStyle&gt;
			&lt;color&gt;ff00ff00&lt;/color&gt;
			&lt;width&gt;5&lt;/width&gt;
		&lt;/LineStyle&gt;
	&lt;/Style&gt;
	&lt;Style id="sh_ylw-pushpin3"&gt;
		&lt;IconStyle&gt;
			&lt;scale&gt;1.3&lt;/scale&gt;
			&lt;Icon&gt;
				&lt;href&gt;http://maps.google.com/mapfiles/kml/pushpin/ylw-pushpin.png&lt;/href&gt;
			&lt;/Icon&gt;
			&lt;hotSpot x="20" y="2" xunits="pixels" yunits="pixels"/&gt;
		&lt;/IconStyle&gt;
		&lt;BalloonStyle&gt;
		&lt;/BalloonStyle&gt;
		&lt;LineStyle&gt;
			&lt;color&gt;ff7f0000&lt;/color&gt;
			&lt;width&gt;5&lt;/width&gt;
		&lt;/LineStyle&gt;
	&lt;/Style&gt;
	&lt;Style id="sn_ylw-pushpin2"&gt;
		&lt;IconStyle&gt;
			&lt;scale&gt;1.1&lt;/scale&gt;
			&lt;Icon&gt;
				&lt;href&gt;http://maps.google.com/mapfiles/kml/pushpin/ylw-pushpin.png&lt;/href&gt;
			&lt;/Icon&gt;
			&lt;hotSpot x="20" y="2" xunits="pixels" yunits="pixels"/&gt;
		&lt;/IconStyle&gt;
		&lt;BalloonStyle&gt;
		&lt;/BalloonStyle&gt;
		&lt;LineStyle&gt;
			&lt;color&gt;ffff00aa&lt;/color&gt;
			&lt;width&gt;5&lt;/width&gt;
		&lt;/LineStyle&gt;
	&lt;/Style&gt;
	&lt;Style id="sn_ylw-pushpin1"&gt;
		&lt;IconStyle&gt;
			&lt;scale&gt;1.1&lt;/scale&gt;
			&lt;Icon&gt;
				&lt;href&gt;http://maps.google.com/mapfiles/kml/pushpin/ylw-pushpin.png&lt;/href&gt;
			&lt;/Icon&gt;
			&lt;hotSpot x="20" y="2" xunits="pixels" yunits="pixels"/&gt;
		&lt;/IconStyle&gt;
		&lt;BalloonStyle&gt;
		&lt;/BalloonStyle&gt;
		&lt;LineStyle&gt;
			&lt;color&gt;ff7f00aa&lt;/color&gt;
			&lt;width&gt;5&lt;/width&gt;
		&lt;/LineStyle&gt;
	&lt;/Style&gt;
	&lt;Style id="sn_ylw-pushpin3"&gt;
		&lt;IconStyle&gt;
			&lt;scale&gt;1.1&lt;/scale&gt;
			&lt;Icon&gt;
				&lt;href&gt;http://maps.google.com/mapfiles/kml/pushpin/ylw-pushpin.png&lt;/href&gt;
			&lt;/Icon&gt;
			&lt;hotSpot x="20" y="2" xunits="pixels" yunits="pixels"/&gt;
		&lt;/IconStyle&gt;
		&lt;BalloonStyle&gt;
		&lt;/BalloonStyle&gt;
		&lt;LineStyle&gt;
			&lt;color&gt;ff7fff00&lt;/color&gt;
			&lt;width&gt;5&lt;/width&gt;
		&lt;/LineStyle&gt;
	&lt;/Style&gt;
	&lt;Style id="sn_ylw-pushpin0"&gt;
		&lt;IconStyle&gt;
			&lt;scale&gt;1.1&lt;/scale&gt;
			&lt;Icon&gt;
				&lt;href&gt;http://maps.google.com/mapfiles/kml/pushpin/ylw-pushpin.png&lt;/href&gt;
			&lt;/Icon&gt;
			&lt;hotSpot x="20" y="2" xunits="pixels" yunits="pixels"/&gt;
		&lt;/IconStyle&gt;
		&lt;BalloonStyle&gt;
		&lt;/BalloonStyle&gt;
		&lt;LineStyle&gt;
			&lt;color&gt;ff00ffaa&lt;/color&gt;
			&lt;width&gt;5&lt;/width&gt;
		&lt;/LineStyle&gt;
	&lt;/Style&gt;
	&lt;Style id="sn_ylw-pushpin4"&gt;
		&lt;IconStyle&gt;
			&lt;scale&gt;1.1&lt;/scale&gt;
			&lt;Icon&gt;
				&lt;href&gt;http://maps.google.com/mapfiles/kml/pushpin/ylw-pushpin.png&lt;/href&gt;
			&lt;/Icon&gt;
			&lt;hotSpot x="20" y="2" xunits="pixels" yunits="pixels"/&gt;
		&lt;/IconStyle&gt;
		&lt;BalloonStyle&gt;
		&lt;/BalloonStyle&gt;
		&lt;LineStyle&gt;
			&lt;color&gt;ff7f5500&lt;/color&gt;
			&lt;width&gt;5&lt;/width&gt;
		&lt;/LineStyle&gt;
	&lt;/Style&gt;
	&lt;Style id="sn_ylw-pushpin"&gt;
		&lt;IconStyle&gt;
			&lt;scale&gt;1.1&lt;/scale&gt;
			&lt;Icon&gt;
				&lt;href&gt;http://maps.google.com/mapfiles/kml/pushpin/ylw-pushpin.png&lt;/href&gt;
			&lt;/Icon&gt;
			&lt;hotSpot x="20" y="2" xunits="pixels" yunits="pixels"/&gt;
		&lt;/IconStyle&gt;
		&lt;BalloonStyle&gt;
		&lt;/BalloonStyle&gt;
		&lt;LineStyle&gt;
			&lt;color&gt;ff0055aa&lt;/color&gt;
			&lt;width&gt;5&lt;/width&gt;
		&lt;/LineStyle&gt;
	&lt;/Style&gt;
	&lt;Style id="sn_ylw-pushpin5"&gt;
		&lt;IconStyle&gt;
			&lt;scale&gt;1.1&lt;/scale&gt;
			&lt;Icon&gt;
				&lt;href&gt;http://maps.google.com/mapfiles/kml/pushpin/ylw-pushpin.png&lt;/href&gt;
			&lt;/Icon&gt;
			&lt;hotSpot x="20" y="2" xunits="pixels" yunits="pixels"/&gt;
		&lt;/IconStyle&gt;
		&lt;BalloonStyle&gt;
		&lt;/BalloonStyle&gt;
		&lt;LineStyle&gt;
			&lt;color&gt;ff00ff00&lt;/color&gt;
			&lt;width&gt;5&lt;/width&gt;
		&lt;/LineStyle&gt;
	&lt;/Style&gt;
	&lt;Style id="sn_ylw-pushpin6"&gt;
		&lt;IconStyle&gt;
			&lt;scale&gt;1.1&lt;/scale&gt;
			&lt;Icon&gt;
				&lt;href&gt;http://maps.google.com/mapfiles/kml/pushpin/ylw-pushpin.png&lt;/href&gt;
			&lt;/Icon&gt;
			&lt;hotSpot x="20" y="2" xunits="pixels" yunits="pixels"/&gt;
		&lt;/IconStyle&gt;
		&lt;BalloonStyle&gt;
		&lt;/BalloonStyle&gt;
		&lt;LineStyle&gt;
			&lt;color&gt;ff7f0000&lt;/color&gt;
			&lt;width&gt;5&lt;/width&gt;
		&lt;/LineStyle&gt;
	&lt;/Style&gt;
	&lt;Style id="sn_ylw-pushpin7"&gt;
		&lt;IconStyle&gt;
			&lt;scale&gt;1.1&lt;/scale&gt;
			&lt;Icon&gt;
				&lt;href&gt;http://maps.google.com/mapfiles/kml/pushpin/ylw-pushpin.png&lt;/href&gt;
			&lt;/Icon&gt;
			&lt;hotSpot x="20" y="2" xunits="pixels" yunits="pixels"/&gt;
		&lt;/IconStyle&gt;
		&lt;BalloonStyle&gt;
		&lt;/BalloonStyle&gt;
		&lt;LineStyle&gt;
			&lt;color&gt;ff7faa00&lt;/color&gt;
			&lt;width&gt;5&lt;/width&gt;
		&lt;/LineStyle&gt;
	&lt;/Style&gt;
	&lt;Style id="sn_ylw-pushpin8"&gt;
		&lt;IconStyle&gt;
			&lt;scale&gt;1.1&lt;/scale&gt;
			&lt;Icon&gt;
				&lt;href&gt;http://maps.google.com/mapfiles/kml/pushpin/ylw-pushpin.png&lt;/href&gt;
			&lt;/Icon&gt;
			&lt;hotSpot x="20" y="2" xunits="pixels" yunits="pixels"/&gt;
		&lt;/IconStyle&gt;
		&lt;BalloonStyle&gt;
		&lt;/BalloonStyle&gt;
		&lt;LineStyle&gt;
			&lt;color&gt;ff7f55aa&lt;/color&gt;
			&lt;width&gt;5&lt;/width&gt;
		&lt;/LineStyle&gt;
	&lt;/Style&gt;
	&lt;Folder&gt;
		&lt;name&gt;TERESINA&lt;/name&gt;
		&lt;open&gt;1&lt;/open&gt;
		&lt;Placemark&gt;
			&lt;name&gt;P-4.917582 -42.819364&lt;/name&gt;
			&lt;LookAt&gt;
				&lt;longitude&gt;-42.81936400028118&lt;/longitude&gt;
				&lt;latitude&gt;-4.917581999930348&lt;/latitude&gt;
				&lt;altitude&gt;0&lt;/altitude&gt;
				&lt;heading&gt;2.40982676827787e-11&lt;/heading&gt;
				&lt;tilt&gt;0&lt;/tilt&gt;
				&lt;range&gt;1000.00015345711&lt;/range&gt;
				&lt;gx:altitudeMode&gt;relativeToSeaFloor&lt;/gx:altitudeMode&gt;
			&lt;/LookAt&gt;
			&lt;styleUrl&gt;#m_ylw-pushpin0&lt;/styleUrl&gt;
			&lt;Point&gt;
				&lt;gx:drawOrder&gt;1&lt;/gx:drawOrder&gt;
				&lt;coordinates&gt;-42.81936400028119,-4.917581999930348,0&lt;/coordinates&gt;
			&lt;/Point&gt;
		&lt;/Placemark&gt;
		&lt;Placemark&gt;
			&lt;name&gt;T1-4.917582 -42.819364&lt;/name&gt;
			&lt;LookAt&gt;
				&lt;longitude&gt;-42.83206896748241&lt;/longitude&gt;
				&lt;latitude&gt;-4.913550583921765&lt;/latitude&gt;
				&lt;altitude&gt;0&lt;/altitude&gt;
				&lt;heading&gt;0.001088688252533653&lt;/heading&gt;
				&lt;tilt&gt;0&lt;/tilt&gt;
				&lt;range&gt;647.1206848428699&lt;/range&gt;
				&lt;gx:altitudeMode&gt;relativeToSeaFloor&lt;/gx:altitudeMode&gt;
			&lt;/LookAt&gt;
			&lt;styleUrl&gt;#m_ylw-pushpin0&lt;/styleUrl&gt;
			&lt;Point&gt;
				&lt;gx:drawOrder&gt;1&lt;/gx:drawOrder&gt;
				&lt;coordinates&gt;-42.83250128959879,-4.912472574343481,0&lt;/coordinates&gt;
			&lt;/Point&gt;
		&lt;/Placemark&gt;
		&lt;Placemark&gt;
			&lt;name&gt;T1&lt;/name&gt;
			&lt;styleUrl&gt;#m_ylw-pushpin&lt;/styleUrl&gt;
			&lt;LineString&gt;
				&lt;tessellate&gt;1&lt;/tessellate&gt;
				&lt;coordinates&gt;
					-42.83244022928569,-4.912440352223781,0 -42.83234339588587,-4.912576636805164,0 -42.83092521781391,-4.913337061574531,0 -42.83089852829561,-4.913364281985766,0 -42.83044902929718,-4.913637018503807,0 -42.8303943455464,-4.913664310047483,0 -42.82966567131822,-4.91401906302514,0 -42.82848857198291,-4.914387375783718,0 -42.82791022382605,-4.914740983767984,0 -42.82788262637857,-4.914795396522877,0 -42.8269274120068,-4.915205484258785,0 -42.82648974385218,-4.915451321496165,0 -42.82643498206369,-4.915464961982068,0 -42.82629807778513,-4.915574084090697,0 -42.82614749270897,-4.9162424532159,0 -42.82605160827841,-4.917156135668784,0 -42.82601050443107,-4.917210558629537,0 -42.82566815006766,-4.917523408867357,0 -42.82498390896983,-4.91752168009951,0 -42.82409721283196,-4.917662239309131,0 -42.82348748445179,-4.91778765920375,0 -42.8232039203942,-4.918189344859222,0 -42.82319040463796,-4.918216256604441,0 -42.82256725349379,-4.91887567181127,0 -42.82021659906739,-4.917942905871686,0 -42.82014694582054,-4.91791725459275,0 -42.81934141870029,-4.917562851119488,0 
				&lt;/coordinates&gt;
			&lt;/LineString&gt;
		&lt;/Placemark&gt;
		&lt;Placemark&gt;
			&lt;name&gt;T2 -4.926941 -42.811779&lt;/name&gt;
			&lt;LookAt&gt;
				&lt;longitude&gt;-42.81177899969239&lt;/longitude&gt;
				&lt;latitude&gt;-4.926940999664326&lt;/latitude&gt;
				&lt;altitude&gt;0&lt;/altitude&gt;
				&lt;heading&gt;-2.642643370960999e-11&lt;/heading&gt;
				&lt;tilt&gt;0&lt;/tilt&gt;
				&lt;range&gt;1000.000174127428&lt;/range&gt;
				&lt;gx:altitudeMode&gt;relativeToSeaFloor&lt;/gx:altitudeMode&gt;
			&lt;/LookAt&gt;
			&lt;styleUrl&gt;#m_ylw-pushpin0&lt;/styleUrl&gt;
			&lt;Point&gt;
				&lt;gx:drawOrder&gt;1&lt;/gx:drawOrder&gt;
				&lt;coordinates&gt;-42.8117789996924,-4.926940999664326,0&lt;/coordinates&gt;
			&lt;/Point&gt;
		&lt;/Placemark&gt;
		&lt;Placemark&gt;
			&lt;name&gt;T2 -4.933935 -42.814326&lt;/name&gt;
			&lt;LookAt&gt;
				&lt;longitude&gt;-42.81432599977072&lt;/longitude&gt;
				&lt;latitude&gt;-4.933934999867103&lt;/latitude&gt;
				&lt;altitude&gt;0&lt;/altitude&gt;
				&lt;heading&gt;-1.97265952731071e-11&lt;/heading&gt;
				&lt;tilt&gt;0&lt;/tilt&gt;
				&lt;range&gt;1000.000159744045&lt;/range&gt;
				&lt;gx:altitudeMode&gt;relativeToSeaFloor&lt;/gx:altitudeMode&gt;
			&lt;/LookAt&gt;
			&lt;styleUrl&gt;#m_ylw-pushpin0&lt;/styleUrl&gt;
			&lt;Point&gt;
				&lt;gx:drawOrder&gt;1&lt;/gx:drawOrder&gt;
				&lt;coordinates&gt;-42.81432599977072,-4.933934999867103,0&lt;/coordinates&gt;
			&lt;/Point&gt;
		&lt;/Placemark&gt;
		&lt;Placemark&gt;
			&lt;name&gt;T2&lt;/name&gt;
			&lt;styleUrl&gt;#msn_ylw-pushpin0&lt;/styleUrl&gt;
			&lt;LineString&gt;
				&lt;tessellate&gt;1&lt;/tessellate&gt;
				&lt;coordinates&gt;
					-42.81180302163811,-4.92696430421175,0 -42.81311367740785,-4.927486304210522,0 -42.81294900578852,-4.92851336055168,0 -42.81374946157485,-4.929956052694338,0 -42.8138661297822,-4.930207376086662,0 -42.81452062799633,-4.931263734114311,0 -42.81503882858856,-4.931613656721079,0 -42.81437316498,-4.93391976612359,0 
				&lt;/coordinates&gt;
			&lt;/LineString&gt;
		&lt;/Placemark&gt;
		&lt;Placemark&gt;
			&lt;name&gt;P-4.922562 -42.795527&lt;/name&gt;
			&lt;LookAt&gt;
				&lt;longitude&gt;-42.79552700052511&lt;/longitude&gt;
				&lt;latitude&gt;-4.922561999802745&lt;/latitude&gt;
				&lt;altitude&gt;0&lt;/altitude&gt;
				&lt;heading&gt;4.505176192426034e-11&lt;/heading&gt;
				&lt;tilt&gt;0&lt;/tilt&gt;
				&lt;range&gt;1000.000113443996&lt;/range&gt;
				&lt;gx:altitudeMode&gt;relativeToSeaFloor&lt;/gx:altitudeMode&gt;
			&lt;/LookAt&gt;
			&lt;styleUrl&gt;#m_ylw-pushpin0&lt;/styleUrl&gt;
			&lt;Point&gt;
				&lt;gx:drawOrder&gt;1&lt;/gx:drawOrder&gt;
				&lt;coordinates&gt;-42.79552700052511,-4.922561999802745,0&lt;/coordinates&gt;
			&lt;/Point&gt;
		&lt;/Placemark&gt;
		&lt;Placemark&gt;
			&lt;name&gt;P-4.932407 -42.797528&lt;/name&gt;
			&lt;LookAt&gt;
				&lt;longitude&gt;-42.7975280007349&lt;/longitude&gt;
				&lt;latitude&gt;-4.932407000247446&lt;/latitude&gt;
				&lt;altitude&gt;0&lt;/altitude&gt;
				&lt;heading&gt;6.3175755207245e-11&lt;/heading&gt;
				&lt;tilt&gt;0&lt;/tilt&gt;
				&lt;range&gt;1000.000207973653&lt;/range&gt;
				&lt;gx:altitudeMode&gt;relativeToSeaFloor&lt;/gx:altitudeMode&gt;
			&lt;/LookAt&gt;
			&lt;styleUrl&gt;#m_ylw-pushpin0&lt;/styleUrl&gt;
			&lt;Point&gt;
				&lt;gx:drawOrder&gt;1&lt;/gx:drawOrder&gt;
				&lt;coordinates&gt;-42.7975280007349,-4.932407000247446,0&lt;/coordinates&gt;
			&lt;/Point&gt;
		&lt;/Placemark&gt;
		&lt;Placemark&gt;
			&lt;name&gt;T3&lt;/name&gt;
			&lt;styleUrl&gt;#msn_ylw-pushpin2&lt;/styleUrl&gt;
			&lt;LineString&gt;
				&lt;tessellate&gt;1&lt;/tessellate&gt;
				&lt;coordinates&gt;
					-42.7955524451523,-4.922516185583614,0 -42.795410416033,-4.924923512580071,0 -42.79583777842547,-4.925687640012968,0 -42.79589439195186,-4.926155523588464,0 -42.79577940198832,-4.927090571925064,0 -42.79638764734116,-4.928616983500326,0 -42.79682547099737,-4.930889427907701,0 -42.7974721354404,-4.932390544754725,0 
				&lt;/coordinates&gt;
			&lt;/LineString&gt;
		&lt;/Placemark&gt;
		&lt;Placemark&gt;
			&lt;name&gt;P-4.889776 -42.767260&lt;/name&gt;
			&lt;LookAt&gt;
				&lt;longitude&gt;-42.76726000034633&lt;/longitude&gt;
				&lt;latitude&gt;-4.889776000002375&lt;/latitude&gt;
				&lt;altitude&gt;0&lt;/altitude&gt;
				&lt;heading&gt;2.952667938536655e-11&lt;/heading&gt;
				&lt;tilt&gt;0&lt;/tilt&gt;
				&lt;range&gt;1000.000183531404&lt;/range&gt;
				&lt;gx:altitudeMode&gt;relativeToSeaFloor&lt;/gx:altitudeMode&gt;
			&lt;/LookAt&gt;
			&lt;styleUrl&gt;#m_ylw-pushpin0&lt;/styleUrl&gt;
			&lt;Point&gt;
				&lt;gx:drawOrder&gt;1&lt;/gx:drawOrder&gt;
				&lt;coordinates&gt;-42.76726000034633,-4.889776000002375,0&lt;/coordinates&gt;
			&lt;/Point&gt;
		&lt;/Placemark&gt;
		&lt;Placemark&gt;
			&lt;name&gt;P-4.890150 -42.766593&lt;/name&gt;
			&lt;LookAt&gt;
				&lt;longitude&gt;-42.76659299983741&lt;/longitude&gt;
				&lt;latitude&gt;-4.890150000139113&lt;/latitude&gt;
				&lt;altitude&gt;0&lt;/altitude&gt;
				&lt;heading&gt;-1.386244757915874e-11&lt;/heading&gt;
				&lt;tilt&gt;0&lt;/tilt&gt;
				&lt;range&gt;1000.000182624943&lt;/range&gt;
				&lt;gx:altitudeMode&gt;relativeToSeaFloor&lt;/gx:altitudeMode&gt;
			&lt;/LookAt&gt;
			&lt;styleUrl&gt;#m_ylw-pushpin0&lt;/styleUrl&gt;
			&lt;Point&gt;
				&lt;gx:drawOrder&gt;1&lt;/gx:drawOrder&gt;
				&lt;coordinates&gt;-42.76659299983741,-4.890150000139113,0&lt;/coordinates&gt;
			&lt;/Point&gt;
		&lt;/Placemark&gt;
		&lt;Placemark&gt;
			&lt;name&gt;T4&lt;/name&gt;
			&lt;styleUrl&gt;#msn_ylw-pushpin7&lt;/styleUrl&gt;
			&lt;LineString&gt;
				&lt;tessellate&gt;1&lt;/tessellate&gt;
				&lt;coordinates&gt;
					-42.76727751388308,-4.889738016351025,0 -42.76536980423708,-4.88716287069777,0 -42.76470149567465,-4.887707710917895,0 -42.76496783646863,-4.888416762184116,0 -42.76539747851544,-4.888775571091177,0 -42.76658259695354,-4.890132725090214,0 
				&lt;/coordinates&gt;
			&lt;/LineString&gt;
		&lt;/Placemark&gt;
		&lt;Placemark&gt;
			&lt;name&gt;P-4.891843 -42.769014&lt;/name&gt;
			&lt;LookAt&gt;
				&lt;longitude&gt;-42.76901399964476&lt;/longitude&gt;
				&lt;latitude&gt;-4.891843000209736&lt;/latitude&gt;
				&lt;altitude&gt;0&lt;/altitude&gt;
				&lt;heading&gt;-3.029518091027517e-11&lt;/heading&gt;
				&lt;tilt&gt;0&lt;/tilt&gt;
				&lt;range&gt;1000.000133293898&lt;/range&gt;
				&lt;gx:altitudeMode&gt;relativeToSeaFloor&lt;/gx:altitudeMode&gt;
			&lt;/LookAt&gt;
			&lt;styleUrl&gt;#m_ylw-pushpin0&lt;/styleUrl&gt;
			&lt;Point&gt;
				&lt;gx:drawOrder&gt;1&lt;/gx:drawOrder&gt;
				&lt;coordinates&gt;-42.76901399964476,-4.891843000209735,0&lt;/coordinates&gt;
			&lt;/Point&gt;
		&lt;/Placemark&gt;
		&lt;Placemark&gt;
			&lt;name&gt;T5&lt;/name&gt;
			&lt;styleUrl&gt;#msn_ylw-pushpin3&lt;/styleUrl&gt;
			&lt;LineString&gt;
				&lt;tessellate&gt;1&lt;/tessellate&gt;
				&lt;coordinates&gt;
					-42.76896196945874,-4.891791159379586,0 -42.76730006189533,-4.889752005098157,0 
				&lt;/coordinates&gt;
			&lt;/LineString&gt;
		&lt;/Placemark&gt;
		&lt;Placemark&gt;
			&lt;name&gt;P-4.892956 -42.767071&lt;/name&gt;
			&lt;LookAt&gt;
				&lt;longitude&gt;-42.76707100058951&lt;/longitude&gt;
				&lt;latitude&gt;-4.892955999951219&lt;/latitude&gt;
				&lt;altitude&gt;0&lt;/altitude&gt;
				&lt;heading&gt;5.027423271122343e-11&lt;/heading&gt;
				&lt;tilt&gt;0&lt;/tilt&gt;
				&lt;range&gt;1000.000068975647&lt;/range&gt;
				&lt;gx:altitudeMode&gt;relativeToSeaFloor&lt;/gx:altitudeMode&gt;
			&lt;/LookAt&gt;
			&lt;styleUrl&gt;#m_ylw-pushpin0&lt;/styleUrl&gt;
			&lt;Point&gt;
				&lt;gx:drawOrder&gt;1&lt;/gx:drawOrder&gt;
				&lt;coordinates&gt;-42.76707100058951,-4.892955999951219,0&lt;/coordinates&gt;
			&lt;/Point&gt;
		&lt;/Placemark&gt;
		&lt;Placemark&gt;
			&lt;name&gt;P-4.889946 -42.762732&lt;/name&gt;
			&lt;LookAt&gt;
				&lt;longitude&gt;-42.76273200017904&lt;/longitude&gt;
				&lt;latitude&gt;-4.889945999750601&lt;/latitude&gt;
				&lt;altitude&gt;0&lt;/altitude&gt;
				&lt;heading&gt;1.525751837631567e-11&lt;/heading&gt;
				&lt;tilt&gt;0&lt;/tilt&gt;
				&lt;range&gt;1000.00019818999&lt;/range&gt;
				&lt;gx:altitudeMode&gt;relativeToSeaFloor&lt;/gx:altitudeMode&gt;
			&lt;/LookAt&gt;
			&lt;styleUrl&gt;#m_ylw-pushpin0&lt;/styleUrl&gt;
			&lt;Point&gt;
				&lt;gx:drawOrder&gt;1&lt;/gx:drawOrder&gt;
				&lt;coordinates&gt;-42.76273200017905,-4.889945999750601,0&lt;/coordinates&gt;
			&lt;/Point&gt;
		&lt;/Placemark&gt;
		&lt;Placemark&gt;
			&lt;name&gt;T6&lt;/name&gt;
			&lt;styleUrl&gt;#msn_ylw-pushpin4&lt;/styleUrl&gt;
			&lt;LineString&gt;
				&lt;tessellate&gt;1&lt;/tessellate&gt;
				&lt;coordinates&gt;
					-42.76704696348568,-4.892930079480383,0 -42.76702424425204,-4.892886375537164,0 -42.76657193556032,-4.890253337416999,0 -42.76585709566488,-4.890330359126001,0 -42.76490776345565,-4.89015329409984,0 -42.76488660489034,-4.890153294054863,0 -42.7639912978279,-4.890153360537361,0 -42.76274936485297,-4.890011746403244,0 
				&lt;/coordinates&gt;
			&lt;/LineString&gt;
		&lt;/Placemark&gt;
		&lt;Placemark&gt;
			&lt;name&gt;T7&lt;/name&gt;
			&lt;styleUrl&gt;#msn_ylw-pushpin6&lt;/styleUrl&gt;
			&lt;LineString&gt;
				&lt;tessellate&gt;1&lt;/tessellate&gt;
				&lt;coordinates&gt;
					-42.76662107624406,-4.891508357029852,0 -42.76459451928144,-4.891697157415244,0 -42.76344646606213,-4.891738849630006,0 -42.76342492979975,-4.89174897392023,0 -42.76259060400948,-4.892004126727178,0 
				&lt;/coordinates&gt;
			&lt;/LineString&gt;
		&lt;/Placemark&gt;
		&lt;Placemark&gt;
			&lt;name&gt;P-4.881804  -42.731714&lt;/name&gt;
			&lt;LookAt&gt;
				&lt;longitude&gt;-42.73171399969836&lt;/longitude&gt;
				&lt;latitude&gt;-4.881804000146319&lt;/latitude&gt;
				&lt;altitude&gt;0&lt;/altitude&gt;
				&lt;heading&gt;-2.567383495810869e-11&lt;/heading&gt;
				&lt;tilt&gt;0&lt;/tilt&gt;
				&lt;range&gt;1000.000226052518&lt;/range&gt;
				&lt;gx:altitudeMode&gt;relativeToSeaFloor&lt;/gx:altitudeMode&gt;
			&lt;/LookAt&gt;
			&lt;styleUrl&gt;#m_ylw-pushpin0&lt;/styleUrl&gt;
			&lt;Point&gt;
				&lt;gx:drawOrder&gt;1&lt;/gx:drawOrder&gt;
				&lt;coordinates&gt;-42.73171399969836,-4.881804000146319,0&lt;/coordinates&gt;
			&lt;/Point&gt;
		&lt;/Placemark&gt;
		&lt;Placemark&gt;
			&lt;name&gt;T8&lt;/name&gt;
			&lt;styleUrl&gt;#msn_ylw-pushpin8&lt;/styleUrl&gt;
			&lt;LineString&gt;
				&lt;tessellate&gt;1&lt;/tessellate&gt;
				&lt;coordinates&gt;
					-42.73399639960113,-4.882323895569177,0 -42.73396786512409,-4.882309718061416,0 -42.73394643276118,-4.882288469508876,0 -42.73315821689135,-4.881089786566305,0 -42.73272631665311,-4.881596646987492,0 -42.73217987293737,-4.881807490013499,0 -42.73189867210338,-4.88180747187661,0 -42.73168287760974,-4.881531803384264,0 -42.73172435625303,-4.880837539386153,0 -42.7318769184682,-4.88048120021666,0 
				&lt;/coordinates&gt;
			&lt;/LineString&gt;
		&lt;/Placemark&gt;
		&lt;Placemark&gt;
			&lt;name&gt;T8&lt;/name&gt;
			&lt;styleUrl&gt;#msn_ylw-pushpin8&lt;/styleUrl&gt;
			&lt;LineString&gt;
				&lt;tessellate&gt;1&lt;/tessellate&gt;
				&lt;coordinates&gt;
					-42.73310114243272,-4.881083049310942,0 -42.73267409034617,-4.88074927707756,0 -42.7326668718334,-4.880721454774889,0 -42.73254561656942,-4.880374050713633,0 -42.73291768707708,-4.879064190060665,0 -42.73291056639896,-4.879036194110831,0 -42.73279673407153,-4.87868001449529,0 
				&lt;/coordinates&gt;
			&lt;/LineString&gt;
		&lt;/Placemark&gt;
		&lt;Placemark&gt;
			&lt;name&gt;P-4.884728  -42.730352&lt;/name&gt;
			&lt;LookAt&gt;
				&lt;longitude&gt;-42.73035200004109&lt;/longitude&gt;
				&lt;latitude&gt;-4.884727999573055&lt;/latitude&gt;
				&lt;altitude&gt;0&lt;/altitude&gt;
				&lt;heading&gt;3.48668306955438e-12&lt;/heading&gt;
				&lt;tilt&gt;0&lt;/tilt&gt;
				&lt;range&gt;1000.000155546814&lt;/range&gt;
				&lt;gx:altitudeMode&gt;relativeToSeaFloor&lt;/gx:altitudeMode&gt;
			&lt;/LookAt&gt;
			&lt;styleUrl&gt;#m_ylw-pushpin0&lt;/styleUrl&gt;
			&lt;Point&gt;
				&lt;gx:drawOrder&gt;1&lt;/gx:drawOrder&gt;
				&lt;coordinates&gt;-42.7303520000411,-4.884727999573055,0&lt;/coordinates&gt;
			&lt;/Point&gt;
		&lt;/Placemark&gt;
		&lt;Placemark&gt;
			&lt;name&gt;T9&lt;/name&gt;
			&lt;styleUrl&gt;#msn_ylw-pushpin1&lt;/styleUrl&gt;
			&lt;LineString&gt;
				&lt;tessellate&gt;1&lt;/tessellate&gt;
				&lt;coordinates&gt;
					-42.73038320722207,-4.884717635012166,0 -42.72934298687512,-4.883571674726516,0 -42.72923284828126,-4.882999099506963,0 -42.7285558806907,-4.881733919737738,0 -42.72803484576593,-4.881117936215991,0 -42.72793190860605,-4.880780289107005,0 
				&lt;/coordinates&gt;
			&lt;/LineString&gt;
		&lt;/Placemark&gt;
		&lt;Placemark&gt;
			&lt;name&gt;P-4.872969  -42.718739&lt;/name&gt;
			&lt;LookAt&gt;
				&lt;longitude&gt;-42.71873899956275&lt;/longitude&gt;
				&lt;latitude&gt;-4.872968999864385&lt;/latitude&gt;
				&lt;altitude&gt;0&lt;/altitude&gt;
				&lt;heading&gt;-3.715484221952161e-11&lt;/heading&gt;
				&lt;tilt&gt;0&lt;/tilt&gt;
				&lt;range&gt;1000.000183581367&lt;/range&gt;
				&lt;gx:altitudeMode&gt;relativeToSeaFloor&lt;/gx:altitudeMode&gt;
			&lt;/LookAt&gt;
			&lt;styleUrl&gt;#m_ylw-pushpin0&lt;/styleUrl&gt;
			&lt;Point&gt;
				&lt;gx:drawOrder&gt;1&lt;/gx:drawOrder&gt;
				&lt;coordinates&gt;-42.71873899956276,-4.872968999864385,0&lt;/coordinates&gt;
			&lt;/Point&gt;
		&lt;/Placemark&gt;
		&lt;Placemark&gt;
			&lt;name&gt;T10&lt;/name&gt;
			&lt;styleUrl&gt;#msn_ylw-pushpin&lt;/styleUrl&gt;
			&lt;LineString&gt;
				&lt;tessellate&gt;1&lt;/tessellate&gt;
				&lt;coordinates&gt;
					-42.71877790206381,-4.872972921862925,0 -42.71875467354587,-4.87293815899747,0 -42.7192312958263,-4.869547910800517,0 
				&lt;/coordinates&gt;
			&lt;/LineString&gt;
		&lt;/Placemark&gt;
		&lt;Placemark&gt;
			&lt;name&gt;P-4.902588  -42.814139&lt;/name&gt;
			&lt;LookAt&gt;
				&lt;longitude&gt;-42.81413879520321&lt;/longitude&gt;
				&lt;latitude&gt;-4.902587934783269&lt;/latitude&gt;
				&lt;altitude&gt;0&lt;/altitude&gt;
				&lt;heading&gt;-5.605934362133743e-10&lt;/heading&gt;
				&lt;tilt&gt;0&lt;/tilt&gt;
				&lt;range&gt;1002.012531792816&lt;/range&gt;
				&lt;gx:altitudeMode&gt;relativeToSeaFloor&lt;/gx:altitudeMode&gt;
			&lt;/LookAt&gt;
			&lt;styleUrl&gt;#m_ylw-pushpin0&lt;/styleUrl&gt;
			&lt;Point&gt;
				&lt;gx:drawOrder&gt;1&lt;/gx:drawOrder&gt;
				&lt;coordinates&gt;-42.81413879520321,-4.90258793478327,0&lt;/coordinates&gt;
			&lt;/Point&gt;
		&lt;/Placemark&gt;
		&lt;Placemark&gt;
			&lt;name&gt;T11&lt;/name&gt;
			&lt;styleUrl&gt;#msn_ylw-pushpin5&lt;/styleUrl&gt;
			&lt;LineString&gt;
				&lt;tessellate&gt;1&lt;/tessellate&gt;
				&lt;coordinates&gt;
					-42.81413553068833,-4.902639832955087,0 -42.81254612440596,-4.903112383121552,0 -42.81167224841555,-4.905666450748684,0 -42.81171958753706,-4.905676323502318,0 -42.81328965871965,-4.906236781035607,0 
				&lt;/coordinates&gt;
			&lt;/LineString&gt;
		&lt;/Placemark&gt;
		&lt;Placemark&gt;
			&lt;name&gt;T11 2&lt;/name&gt;
			&lt;styleUrl&gt;#msn_ylw-pushpin5&lt;/styleUrl&gt;
			&lt;LineString&gt;
				&lt;tessellate&gt;1&lt;/tessellate&gt;
				&lt;coordinates&gt;
					-42.81406292739948,-4.902664512158543,0 -42.81444034508068,-4.90289767608224,0 -42.81224959947215,-4.909166091593583,0 
				&lt;/coordinates&gt;
			&lt;/LineString&gt;
		&lt;/Placemark&gt;
		&lt;atom:link rel="app" href="https://www.google.com/earth/about/versions/#earth-pro" title="Google Earth Pro 7.3.6.10441"&gt;&lt;/atom:link&gt;
	&lt;/Folder&gt;
&lt;/Document&gt;
&lt;/kml&gt;</t>
  </si>
  <si>
    <t>PAVIMENTAÇÃO EM PARALELEPÍPEDO DE 5.496,12 M² EM VIAS DO ASSENTAMENTO 17 DE ABRIL NA ZONA RURAL DE TERESINA.</t>
  </si>
  <si>
    <t>ASSENTAMENTO 17 DE ABRIL</t>
  </si>
  <si>
    <t>&lt;?xml version="1.0" encoding="UTF-8"?&gt;
&lt;kml xmlns="http://www.opengis.net/kml/2.2" xmlns:gx="http://www.google.com/kml/ext/2.2" xmlns:kml="http://www.opengis.net/kml/2.2" xmlns:atom="http://www.w3.org/2005/Atom"&gt;
&lt;Document id="16g-9XKMj-HPBFYKGaUPchQ_athvlkX2C"&gt;
	&lt;name&gt;PAVIMENTAÇÃO EM PARALELEPÍPEDO DE 5.496,12 M² EM VIAS DO ASSENTAMENTO 17 DE ABRIL NA ZONA RURAL DE TERESINA.&lt;/name&gt;
	&lt;gx:CascadingStyle kml:id="__managed_style_2F686AC8523F143C2F78"&gt;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&lt;/BalloonStyle&gt;
		&lt;/Style&gt;
	&lt;/gx:CascadingStyle&gt;
	&lt;gx:CascadingStyle kml:id="__managed_style_1E391ABE5E3F143C2F78"&gt;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&lt;/BalloonStyle&gt;
		&lt;/Style&gt;
	&lt;/gx:CascadingStyle&gt;
	&lt;StyleMap id="__managed_style_02D3BCB26D3F143C2F78"&gt;
		&lt;Pair&gt;
			&lt;key&gt;normal&lt;/key&gt;
			&lt;styleUrl&gt;#__managed_style_1E391ABE5E3F143C2F78&lt;/styleUrl&gt;
		&lt;/Pair&gt;
		&lt;Pair&gt;
			&lt;key&gt;highlight&lt;/key&gt;
			&lt;styleUrl&gt;#__managed_style_2F686AC8523F143C2F78&lt;/styleUrl&gt;
		&lt;/Pair&gt;
	&lt;/StyleMap&gt;
	&lt;GroundOverlay id="0339183A1C3F14168A8C"&gt;
		&lt;name&gt;Área político-administrativa (nível 2)&lt;/name&gt;
		&lt;LookAt&gt;
			&lt;longitude&gt;-105&lt;/longitude&gt;
			&lt;latitude&gt;44&lt;/latitude&gt;
			&lt;altitude&gt;0&lt;/altitude&gt;
			&lt;heading&gt;0&lt;/heading&gt;
			&lt;tilt&gt;0&lt;/tilt&gt;
			&lt;gx:fovy&gt;30&lt;/gx:fovy&gt;
			&lt;range&gt;10000000&lt;/range&gt;
			&lt;altitudeMode&gt;absolute&lt;/altitudeMode&gt;
		&lt;/LookAt&gt;
		&lt;styleUrl&gt;#__managed_style_02D3BCB26D3F143C2F78&lt;/styleUrl&gt;
		&lt;drawOrder&gt;5&lt;/drawOrder&gt;
		&lt;Icon&gt;
			&lt;href&gt;data:image/gif;base64,R0lGODlhAQABAIAAAP///wAAACH5BAEAAAAALAAAAAABAAEAAAICRAEAOw==&lt;/href&gt;
		&lt;/Icon&gt;
		&lt;LatLonBox&gt;
			&lt;north&gt;85&lt;/north&gt;
			&lt;south&gt;-85&lt;/south&gt;
			&lt;east&gt;180&lt;/east&gt;
			&lt;west&gt;-180&lt;/west&gt;
		&lt;/LatLonBox&gt;
		&lt;gx:MapTilePyramid&gt;
			&lt;Link&gt;
				&lt;href&gt;earthdatalayer:0:CAESJDkyNTU4MzMwLTM4ZmQtNDQxNC1hNTI4LTk2M2Y1NzYwMmQ1Ng&lt;/href&gt;
			&lt;/Link&gt;
			&lt;gx:minLevel&gt;0&lt;/gx:minLevel&gt;
			&lt;gx:maxLevel&gt;22&lt;/gx:maxLevel&gt;
		&lt;/gx:MapTilePyramid&gt;
	&lt;/GroundOverlay&gt;
	&lt;Placemark id="0206392D0B3F143947B1"&gt;
		&lt;name&gt;5°18&amp;apos;00.0&amp;quot;S 42°44&amp;apos;51.0&amp;quot;W&lt;/name&gt;
		&lt;LookAt&gt;
			&lt;longitude&gt;-42.7475&lt;/longitude&gt;
			&lt;latitude&gt;-5.300000000000001&lt;/latitude&gt;
			&lt;altitude&gt;0&lt;/altitude&gt;
			&lt;heading&gt;0&lt;/heading&gt;
			&lt;tilt&gt;0&lt;/tilt&gt;
			&lt;gx:fovy&gt;35&lt;/gx:fovy&gt;
			&lt;range&gt;1051.486090750141&lt;/range&gt;
			&lt;altitudeMode&gt;relativeToGround&lt;/altitudeMode&gt;
		&lt;/LookAt&gt;
		&lt;styleUrl&gt;#__managed_style_02D3BCB26D3F143C2F78&lt;/styleUrl&gt;
		&lt;Point&gt;
			&lt;extrude&gt;1&lt;/extrude&gt;
			&lt;coordinates&gt;-42.7475,-5.3,0&lt;/coordinates&gt;
		&lt;/Point&gt;
	&lt;/Placemark&gt;
	&lt;Placemark id="0BD96D552C3F143AF91E"&gt;
		&lt;name&gt;5°17&amp;apos;58.0&amp;quot;S 42°44&amp;apos;25.0&amp;quot;W&lt;/name&gt;
		&lt;LookAt&gt;
			&lt;longitude&gt;-42.74027780000001&lt;/longitude&gt;
			&lt;latitude&gt;-5.299444399999999&lt;/latitude&gt;
			&lt;altitude&gt;0&lt;/altitude&gt;
			&lt;heading&gt;0&lt;/heading&gt;
			&lt;tilt&gt;0&lt;/tilt&gt;
			&lt;gx:fovy&gt;35&lt;/gx:fovy&gt;
			&lt;range&gt;1051.487149546933&lt;/range&gt;
			&lt;altitudeMode&gt;relativeToGround&lt;/altitudeMode&gt;
		&lt;/LookAt&gt;
		&lt;styleUrl&gt;#__managed_style_02D3BCB26D3F143C2F78&lt;/styleUrl&gt;
		&lt;Point&gt;
			&lt;extrude&gt;1&lt;/extrude&gt;
			&lt;coordinates&gt;-42.7402778,-5.2994444,0&lt;/coordinates&gt;
		&lt;/Point&gt;
	&lt;/Placemark&gt;
	&lt;Placemark id="09543711E13F143D42F4"&gt;
		&lt;name&gt;Caminho sem título&lt;/name&gt;
		&lt;LookAt&gt;
			&lt;longitude&gt;-42.74078766300301&lt;/longitude&gt;
			&lt;latitude&gt;-5.299548348716369&lt;/latitude&gt;
			&lt;altitude&gt;-1.414648398423424e-09&lt;/altitude&gt;
			&lt;heading&gt;0&lt;/heading&gt;
			&lt;tilt&gt;0&lt;/tilt&gt;
			&lt;gx:fovy&gt;35&lt;/gx:fovy&gt;
			&lt;range&gt;607.3981312002134&lt;/range&gt;
			&lt;altitudeMode&gt;absolute&lt;/altitudeMode&gt;
		&lt;/LookAt&gt;
		&lt;styleUrl&gt;#__managed_style_02D3BCB26D3F143C2F78&lt;/styleUrl&gt;
		&lt;LineString&gt;
			&lt;coordinates&gt;
				-42.74750572844918,-5.30017340310801,0 -42.74399570298664,-5.29995828186488,0 -42.74029538116507,-5.299479278042815,0 
			&lt;/coordinates&gt;
		&lt;/LineString&gt;
	&lt;/Placemark&gt;
&lt;/Document&gt;
&lt;/kml&gt;</t>
  </si>
  <si>
    <t>PAVIMENTAÇÃO EM PARALELEPÍPEDO NO MUNICÍPIO DE TERESINA (4.700,00 M²).</t>
  </si>
  <si>
    <t>MUNDO NOVO</t>
  </si>
  <si>
    <t>&lt;?xml version="1.0" encoding="UTF-8"?&gt;
&lt;kml xmlns="http://www.opengis.net/kml/2.2" xmlns:gx="http://www.google.com/kml/ext/2.2" xmlns:kml="http://www.opengis.net/kml/2.2" xmlns:atom="http://www.w3.org/2005/Atom"&gt;
&lt;Document id="document"&gt;
	&lt;name&gt;Mapa sem título&lt;/name&gt;
	&lt;gx:CascadingStyle kml:id="__managed_style_09F7D3FD9C3F142E31F7_highlight"&gt;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kml:id="__managed_style_09F7D3FD9C3F142E31F7_normal"&gt;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id="__managed_style_09F7D3FD9C3F142E31F7"&gt;
		&lt;Pair&gt;
			&lt;key&gt;normal&lt;/key&gt;
			&lt;styleUrl&gt;#__managed_style_09F7D3FD9C3F142E31F7_normal&lt;/styleUrl&gt;
		&lt;/Pair&gt;
		&lt;Pair&gt;
			&lt;key&gt;highlight&lt;/key&gt;
			&lt;styleUrl&gt;#__managed_style_09F7D3FD9C3F142E31F7_highlight&lt;/styleUrl&gt;
		&lt;/Pair&gt;
	&lt;/StyleMap&gt;
	&lt;gx:CascadingStyle kml:id="__managed_style_054D7BF6CF3F142E1777_highlight"&gt;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kml:id="__managed_style_054D7BF6CF3F142E1777_normal"&gt;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id="__managed_style_054D7BF6CF3F142E1777"&gt;
		&lt;Pair&gt;
			&lt;key&gt;normal&lt;/key&gt;
			&lt;styleUrl&gt;#__managed_style_054D7BF6CF3F142E1777_normal&lt;/styleUrl&gt;
		&lt;/Pair&gt;
		&lt;Pair&gt;
			&lt;key&gt;highlight&lt;/key&gt;
			&lt;styleUrl&gt;#__managed_style_054D7BF6CF3F142E1777_highlight&lt;/styleUrl&gt;
		&lt;/Pair&gt;
	&lt;/StyleMap&gt;
	&lt;Placemark id="08429E02A43F142E1750"&gt;
		&lt;name&gt;Marcador de local sem título&lt;/name&gt;
		&lt;LookAt&gt;
			&lt;longitude&gt;-42.74606171600041&lt;/longitude&gt;
			&lt;latitude&gt;-4.950033913496926&lt;/latitude&gt;
			&lt;altitude&gt;95.06519926999451&lt;/altitude&gt;
			&lt;heading&gt;-161.181368223868&lt;/heading&gt;
			&lt;tilt&gt;4.400781129991346&lt;/tilt&gt;
			&lt;gx:fovy&gt;35&lt;/gx:fovy&gt;
			&lt;range&gt;2805.678626089648&lt;/range&gt;
			&lt;altitudeMode&gt;absolute&lt;/altitudeMode&gt;
		&lt;/LookAt&gt;
		&lt;styleUrl&gt;#__managed_style_054D7BF6CF3F142E1777&lt;/styleUrl&gt;
		&lt;Point&gt;
			&lt;coordinates&gt;-42.74707525144238,-4.947763498340158,98.38025285203491&lt;/coordinates&gt;
		&lt;/Point&gt;
	&lt;/Placemark&gt;
	&lt;Placemark id="0A207E47F83F142E31B3"&gt;
		&lt;name&gt;Caminho sem título&lt;/name&gt;
		&lt;LookAt&gt;
			&lt;longitude&gt;-42.74601842402609&lt;/longitude&gt;
			&lt;latitude&gt;-4.949960572146974&lt;/latitude&gt;
			&lt;altitude&gt;94.86672788670947&lt;/altitude&gt;
			&lt;heading&gt;-161.1813719674344&lt;/heading&gt;
			&lt;tilt&gt;4.400781267010082&lt;/tilt&gt;
			&lt;gx:fovy&gt;35&lt;/gx:fovy&gt;
			&lt;range&gt;2805.877768023347&lt;/range&gt;
			&lt;altitudeMode&gt;absolute&lt;/altitudeMode&gt;
		&lt;/LookAt&gt;
		&lt;styleUrl&gt;#__managed_style_09F7D3FD9C3F142E31F7&lt;/styleUrl&gt;
		&lt;LineString&gt;
			&lt;coordinates&gt;
				-42.74714210416859,-4.947900712721877,0 -42.74936206115412,-4.951499940840826,0 
			&lt;/coordinates&gt;
		&lt;/LineString&gt;
	&lt;/Placemark&gt;
	&lt;Placemark id="0352415A813F142E494B"&gt;
		&lt;name&gt;Caminho sem título&lt;/name&gt;
		&lt;LookAt&gt;
			&lt;longitude&gt;-42.74601842402609&lt;/longitude&gt;
			&lt;latitude&gt;-4.949960572146974&lt;/latitude&gt;
			&lt;altitude&gt;94.86672788670947&lt;/altitude&gt;
			&lt;heading&gt;-161.1813719674344&lt;/heading&gt;
			&lt;tilt&gt;4.400781267010082&lt;/tilt&gt;
			&lt;gx:fovy&gt;35&lt;/gx:fovy&gt;
			&lt;range&gt;2805.877768023347&lt;/range&gt;
			&lt;altitudeMode&gt;absolute&lt;/altitudeMode&gt;
		&lt;/LookAt&gt;
		&lt;styleUrl&gt;#__managed_style_09F7D3FD9C3F142E31F7&lt;/styleUrl&gt;
		&lt;LineString&gt;
			&lt;coordinates&gt;
				-42.749844569436,-4.950020488449146,0 -42.74575101270277,-4.951116010038668,0 
			&lt;/coordinates&gt;
		&lt;/LineString&gt;
	&lt;/Placemark&gt;
	&lt;Placemark id="053851503C3F142E58B4"&gt;
		&lt;name&gt;Marcador de local sem título&lt;/name&gt;
		&lt;LookAt&gt;
			&lt;longitude&gt;-42.74601842402609&lt;/longitude&gt;
			&lt;latitude&gt;-4.949960572146974&lt;/latitude&gt;
			&lt;altitude&gt;94.86672788670947&lt;/altitude&gt;
			&lt;heading&gt;-161.1813719674344&lt;/heading&gt;
			&lt;tilt&gt;4.400781267010082&lt;/tilt&gt;
			&lt;gx:fovy&gt;35&lt;/gx:fovy&gt;
			&lt;range&gt;2805.877768023347&lt;/range&gt;
			&lt;altitudeMode&gt;absolute&lt;/altitudeMode&gt;
		&lt;/LookAt&gt;
		&lt;styleUrl&gt;#__managed_style_054D7BF6CF3F142E1777&lt;/styleUrl&gt;
		&lt;Point&gt;
			&lt;coordinates&gt;-42.74982415673816,-4.950063476676362,103.967394793098&lt;/coordinates&gt;
		&lt;/Point&gt;
	&lt;/Placemark&gt;
&lt;/Document&gt;
&lt;/kml&gt;</t>
  </si>
  <si>
    <t>PAVIMENTAÇÃO EM PARALELEPÍPEDO DE 5.350 M² DE RUA NO MUNICÍPIO DE TERESINA - PI</t>
  </si>
  <si>
    <t>NOVA OLINDA</t>
  </si>
  <si>
    <t>&lt;?xml version="1.0" encoding="UTF-8"?&gt;
&lt;kml xmlns="http://www.opengis.net/kml/2.2" xmlns:gx="http://www.google.com/kml/ext/2.2" xmlns:kml="http://www.opengis.net/kml/2.2" xmlns:atom="http://www.w3.org/2005/Atom"&gt;
&lt;Document id="document"&gt;
	&lt;name&gt;Mapa sem título&lt;/name&gt;
	&lt;gx:CascadingStyle kml:id="__managed_style_05BD6301CD3F13D3DBC8_highlight"&gt;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kml:id="__managed_style_05BD6301CD3F13D3DBC8_normal"&gt;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id="__managed_style_05BD6301CD3F13D3DBC8"&gt;
		&lt;Pair&gt;
			&lt;key&gt;normal&lt;/key&gt;
			&lt;styleUrl&gt;#__managed_style_05BD6301CD3F13D3DBC8_normal&lt;/styleUrl&gt;
		&lt;/Pair&gt;
		&lt;Pair&gt;
			&lt;key&gt;highlight&lt;/key&gt;
			&lt;styleUrl&gt;#__managed_style_05BD6301CD3F13D3DBC8_highlight&lt;/styleUrl&gt;
		&lt;/Pair&gt;
	&lt;/StyleMap&gt;
	&lt;Placemark id="01147288523F13D3DBA6"&gt;
		&lt;name&gt;Caminho sem título&lt;/name&gt;
		&lt;LookAt&gt;
			&lt;longitude&gt;-42.67635419138792&lt;/longitude&gt;
			&lt;latitude&gt;-5.211885894671541&lt;/latitude&gt;
			&lt;altitude&gt;85.71018463343529&lt;/altitude&gt;
			&lt;heading&gt;0&lt;/heading&gt;
			&lt;tilt&gt;0&lt;/tilt&gt;
			&lt;gx:fovy&gt;35&lt;/gx:fovy&gt;
			&lt;range&gt;2939.745277618349&lt;/range&gt;
			&lt;altitudeMode&gt;absolute&lt;/altitudeMode&gt;
		&lt;/LookAt&gt;
		&lt;styleUrl&gt;#__managed_style_05BD6301CD3F13D3DBC8&lt;/styleUrl&gt;
		&lt;LineString&gt;
			&lt;coordinates&gt;
				-42.6749735927956,-5.211771318842419,0 -42.683203449125,-5.20714120533633,0 
			&lt;/coordinates&gt;
		&lt;/LineString&gt;
	&lt;/Placemark&gt;
	&lt;Placemark id="084DF3F8543F13D3ECF4"&gt;
		&lt;name&gt;Marcador de local sem título&lt;/name&gt;
		&lt;LookAt&gt;
			&lt;longitude&gt;-42.67569245078039&lt;/longitude&gt;
			&lt;latitude&gt;-5.211350798955343&lt;/latitude&gt;
			&lt;altitude&gt;86.80804799236155&lt;/altitude&gt;
			&lt;heading&gt;0&lt;/heading&gt;
			&lt;tilt&gt;0&lt;/tilt&gt;
			&lt;gx:fovy&gt;35&lt;/gx:fovy&gt;
			&lt;range&gt;1714.149980528745&lt;/range&gt;
			&lt;altitudeMode&gt;absolute&lt;/altitudeMode&gt;
		&lt;/LookAt&gt;
		&lt;styleUrl&gt;#__managed_style_05BD6301CD3F13D3DBC8&lt;/styleUrl&gt;
		&lt;Point&gt;
			&lt;coordinates&gt;-42.67496996898245,-5.211777356349923,88.18149078101889&lt;/coordinates&gt;
		&lt;/Point&gt;
	&lt;/Placemark&gt;
&lt;/Document&gt;
&lt;/kml&gt;</t>
  </si>
  <si>
    <t>PAVIMENTAÇÃO EM PARALELEPÍPEDO NA LOCALIDADE SERRA DO GAVIÃO, RUAS: NOSSA SENHORA DA CONCEIÇÃO E RUA PROJETADA 01, COM ÁREA TOTAL DE 5.995,00 M², ZONA RURAL DO MUNICÍPIO DE TERESINA – PI. CONT. 29/2025 - FRANCA. (OPA)</t>
  </si>
  <si>
    <t>SERRA DO GAVIÃO</t>
  </si>
  <si>
    <t>&lt;?xml version="1.0" encoding="UTF-8"?&gt;
&lt;kml xmlns="http://www.opengis.net/kml/2.2" xmlns:gx="http://www.google.com/kml/ext/2.2" xmlns:kml="http://www.opengis.net/kml/2.2" xmlns:atom="http://www.w3.org/2005/Atom"&gt;
&lt;Document&gt;
	&lt;name&gt;ID-14535 - CALÇAMENTO - TERESINA.kmz&lt;/name&gt;
	&lt;StyleMap id="__managed_style_078E2C658935859205C00"&gt;
		&lt;Pair&gt;
			&lt;key&gt;normal&lt;/key&gt;
			&lt;styleUrl&gt;#failed56&lt;/styleUrl&gt;
		&lt;/Pair&gt;
		&lt;Pair&gt;
			&lt;key&gt;highlight&lt;/key&gt;
			&lt;styleUrl&gt;#failed52&lt;/styleUrl&gt;
		&lt;/Pair&gt;
	&lt;/StyleMap&gt;
	&lt;StyleMap id="__managed_style_078E2C658935859205C000"&gt;
		&lt;Pair&gt;
			&lt;key&gt;normal&lt;/key&gt;
			&lt;styleUrl&gt;#failed560&lt;/styleUrl&gt;
		&lt;/Pair&gt;
		&lt;Pair&gt;
			&lt;key&gt;highlight&lt;/key&gt;
			&lt;styleUrl&gt;#failed520&lt;/styleUrl&gt;
		&lt;/Pair&gt;
	&lt;/StyleMap&gt;
	&lt;Style id="failed52"&gt;
		&lt;LineStyle&gt;
			&lt;color&gt;ffffaa00&lt;/color&gt;
			&lt;width&gt;6&lt;/width&gt;
		&lt;/LineStyle&gt;
	&lt;/Style&gt;
	&lt;Style id="failed520"&gt;
		&lt;LineStyle&gt;
			&lt;color&gt;ff7f00ff&lt;/color&gt;
			&lt;width&gt;6&lt;/width&gt;
		&lt;/LineStyle&gt;
	&lt;/Style&gt;
	&lt;Style id="failed56"&gt;
		&lt;LineStyle&gt;
			&lt;color&gt;ffffaa00&lt;/color&gt;
			&lt;width&gt;6&lt;/width&gt;
		&lt;/LineStyle&gt;
	&lt;/Style&gt;
	&lt;Style id="failed560"&gt;
		&lt;LineStyle&gt;
			&lt;color&gt;ff7f00ff&lt;/color&gt;
			&lt;width&gt;6&lt;/width&gt;
		&lt;/LineStyle&gt;
	&lt;/Style&gt;
	&lt;StyleMap id="msn_ylw-pushpin352"&gt;
		&lt;Pair&gt;
			&lt;key&gt;normal&lt;/key&gt;
			&lt;styleUrl&gt;#sn_ylw-pushpin153&lt;/styleUrl&gt;
		&lt;/Pair&gt;
		&lt;Pair&gt;
			&lt;key&gt;highlight&lt;/key&gt;
			&lt;styleUrl&gt;#sh_ylw-pushpin121&lt;/styleUrl&gt;
		&lt;/Pair&gt;
	&lt;/StyleMap&gt;
	&lt;Style id="sh_ylw-pushpin121"&gt;
		&lt;IconStyle&gt;
			&lt;scale&gt;1.3&lt;/scale&gt;
			&lt;Icon&gt;
				&lt;href&gt;http://maps.google.com/mapfiles/kml/pushpin/ylw-pushpin.png&lt;/href&gt;
			&lt;/Icon&gt;
			&lt;hotSpot x="20" y="2" xunits="pixels" yunits="pixels"/&gt;
		&lt;/IconStyle&gt;
		&lt;LineStyle&gt;
			&lt;color&gt;ff0055ff&lt;/color&gt;
			&lt;width&gt;6&lt;/width&gt;
		&lt;/LineStyle&gt;
	&lt;/Style&gt;
	&lt;Style id="sn_ylw-pushpin153"&gt;
		&lt;IconStyle&gt;
			&lt;scale&gt;1.1&lt;/scale&gt;
			&lt;Icon&gt;
				&lt;href&gt;http://maps.google.com/mapfiles/kml/pushpin/ylw-pushpin.png&lt;/href&gt;
			&lt;/Icon&gt;
			&lt;hotSpot x="20" y="2" xunits="pixels" yunits="pixels"/&gt;
		&lt;/IconStyle&gt;
		&lt;LineStyle&gt;
			&lt;color&gt;ff0055ff&lt;/color&gt;
			&lt;width&gt;6&lt;/width&gt;
		&lt;/LineStyle&gt;
	&lt;/Style&gt;
	&lt;Folder&gt;
		&lt;name&gt;ID-14535 - CALÇAMENTO - TERESINA&lt;/name&gt;
		&lt;open&gt;1&lt;/open&gt;
		&lt;Placemark&gt;
			&lt;name&gt;ESTRADA RURAL&lt;/name&gt;
			&lt;open&gt;1&lt;/open&gt;
			&lt;styleUrl&gt;#msn_ylw-pushpin352&lt;/styleUrl&gt;
			&lt;LineString&gt;
				&lt;tessellate&gt;1&lt;/tessellate&gt;
				&lt;coordinates&gt;
					-42.69651860367334,-4.965856440225364,0 -42.69491068597018,-4.966350459541683,0 -42.69401862544126,-4.966571641262718,0 -42.69289034468011,-4.966873049177366,0 
				&lt;/coordinates&gt;
			&lt;/LineString&gt;
		&lt;/Placemark&gt;
		&lt;Placemark&gt;
			&lt;name&gt;RUA PROJETADA 01&lt;/name&gt;
			&lt;open&gt;1&lt;/open&gt;
			&lt;styleUrl&gt;#__managed_style_078E2C658935859205C00&lt;/styleUrl&gt;
			&lt;LineString&gt;
				&lt;tessellate&gt;1&lt;/tessellate&gt;
				&lt;coordinates&gt;
					-42.67787530867214,-4.990355582494316,0 -42.67782706354164,-4.991168712607962,0 
				&lt;/coordinates&gt;
			&lt;/LineString&gt;
		&lt;/Placemark&gt;
		&lt;Placemark&gt;
			&lt;name&gt;RUA NOSSA SENHORA DA CONCEIÇÃO&lt;/name&gt;
			&lt;open&gt;1&lt;/open&gt;
			&lt;styleUrl&gt;#__managed_style_078E2C658935859205C000&lt;/styleUrl&gt;
			&lt;LineString&gt;
				&lt;tessellate&gt;1&lt;/tessellate&gt;
				&lt;coordinates&gt;
					-42.68102435954217,-4.991484562281257,0 -42.68041635780214,-4.991458354326167,0 -42.6802000498476,-4.991461266376176,0 -42.67995743408416,-4.991411762515377,0 -42.67892265745478,-4.990875953109613,0 -42.67802083518379,-4.990430283219617,0 -42.67791560467096,-4.990334187024251,0 -42.67790098951003,-4.990255563076534,0 -42.67794890483341,-4.989558203722036,0 -42.67799567600103,-4.98897871606752,0 
				&lt;/coordinates&gt;
			&lt;/LineString&gt;
		&lt;/Placemark&gt;
		&lt;atom:link rel="app" href="https://www.google.com/earth/about/versions/#earth-pro" title="Google Earth Pro 7.3.6.10201"&gt;&lt;/atom:link&gt;
	&lt;/Folder&gt;
&lt;/Document&gt;
&lt;/kml&gt;</t>
  </si>
  <si>
    <t>PAVIMENTAÇÃO EM PARALELEPÍPEDO DE 5.901,50 M², NO ASSENTAMENTO MANOEL DO MORRO, MUNICÍPIO DE TERESINA-PI. CONTRATO Nº 026/2025 - H F - OPA</t>
  </si>
  <si>
    <t>ASSENTAMENTO MANOEL DO MORRO</t>
  </si>
  <si>
    <t>&lt;?xml version="1.0" encoding="UTF-8"?&gt;
&lt;kml xmlns="http://www.opengis.net/kml/2.2" xmlns:gx="http://www.google.com/kml/ext/2.2" xmlns:kml="http://www.opengis.net/kml/2.2" xmlns:atom="http://www.w3.org/2005/Atom"&gt;
&lt;Document&gt;
	&lt;name&gt;ID 14454 - OPA - MANOEL DO MORRO.kmz&lt;/name&gt;
	&lt;StyleMap id="msn_ylw-pushpin10"&gt;
		&lt;Pair&gt;
			&lt;key&gt;normal&lt;/key&gt;
			&lt;styleUrl&gt;#sn_ylw-pushpin5&lt;/styleUrl&gt;
		&lt;/Pair&gt;
		&lt;Pair&gt;
			&lt;key&gt;highlight&lt;/key&gt;
			&lt;styleUrl&gt;#sh_ylw-pushpin6&lt;/styleUrl&gt;
		&lt;/Pair&gt;
	&lt;/StyleMap&gt;
	&lt;Style id="sh_ylw-pushpin6"&gt;
		&lt;IconStyle&gt;
			&lt;scale&gt;1.3&lt;/scale&gt;
			&lt;Icon&gt;
				&lt;href&gt;http://maps.google.com/mapfiles/kml/pushpin/ylw-pushpin.png&lt;/href&gt;
			&lt;/Icon&gt;
			&lt;hotSpot x="20" y="2" xunits="pixels" yunits="pixels"/&gt;
		&lt;/IconStyle&gt;
		&lt;LineStyle&gt;
			&lt;color&gt;ff00ffff&lt;/color&gt;
			&lt;width&gt;6&lt;/width&gt;
		&lt;/LineStyle&gt;
	&lt;/Style&gt;
	&lt;Style id="sn_ylw-pushpin5"&gt;
		&lt;IconStyle&gt;
			&lt;scale&gt;1.1&lt;/scale&gt;
			&lt;Icon&gt;
				&lt;href&gt;http://maps.google.com/mapfiles/kml/pushpin/ylw-pushpin.png&lt;/href&gt;
			&lt;/Icon&gt;
			&lt;hotSpot x="20" y="2" xunits="pixels" yunits="pixels"/&gt;
		&lt;/IconStyle&gt;
		&lt;LineStyle&gt;
			&lt;color&gt;ff00ffff&lt;/color&gt;
			&lt;width&gt;6&lt;/width&gt;
		&lt;/LineStyle&gt;
	&lt;/Style&gt;
	&lt;Folder&gt;
		&lt;name&gt;ID 14454 - OPA - MANOEL DO MORRO&lt;/name&gt;
		&lt;open&gt;1&lt;/open&gt;
		&lt;Folder&gt;
			&lt;name&gt;VIA SEM NOME&lt;/name&gt;
			&lt;open&gt;1&lt;/open&gt;
			&lt;Placemark&gt;
				&lt;name&gt;RUA PROJETADA&lt;/name&gt;
				&lt;styleUrl&gt;#msn_ylw-pushpin10&lt;/styleUrl&gt;
				&lt;LineString&gt;
					&lt;tessellate&gt;1&lt;/tessellate&gt;
					&lt;coordinates&gt;
						-42.72072216523303,-4.934408062642856,0 -42.72068708024231,-4.934453973111304,0 -42.72053618960742,-4.934621130879663,0 -42.72022084886092,-4.93479324871321,0 -42.71975247448542,-4.934942678077813,0 -42.7187828946028,-4.935122819916906,0 -42.71772611813768,-4.935202079842092,0 -42.71686878800607,-4.935286551669255,0 -42.71648117158398,-4.935327295529328,0 -42.7158193003703,-4.935397776279101,0 -42.71498668403883,-4.935443608774444,0 -42.71459213826191,-4.935473087628925,0 -42.71436287298317,-4.935565952325971,0 -42.7139221265683,-4.935573018391834,0 -42.71364567858795,-4.935622712204284,0 -42.71332213653523,-4.935645486883951,0 -42.71310251813608,-4.935633298850626,0 -42.71276517255846,-4.936255597702789,0 -42.71268591434664,-4.936405880996036,0 -42.71250698680934,-4.936808398435478,0 -42.71238332512252,-4.937062579465946,0 -42.71231428490724,-4.937290401339428,0 
					&lt;/coordinates&gt;
				&lt;/LineString&gt;
			&lt;/Placemark&gt;
		&lt;/Folder&gt;
		&lt;atom:link rel="app" href="https://www.google.com/earth/about/versions/#earth-pro" title="Google Earth Pro 7.3.6.10201"&gt;&lt;/atom:link&gt;
	&lt;/Folder&gt;
&lt;/Document&gt;
&lt;/kml&gt;</t>
  </si>
  <si>
    <t>PAVIMENTAÇÃO EM PARALELEPÍPEDO (BAIXÃO DO CARLOS E COQUEIRO VERDE) - TERESINA PIAUÍ</t>
  </si>
  <si>
    <t>BAIXÃO DO CARLOS E COQUEIRO VERDE</t>
  </si>
  <si>
    <t>&lt;?xml version="1.0" encoding="UTF-8"?&gt;
&lt;kml xmlns="http://www.opengis.net/kml/2.2" xmlns:gx="http://www.google.com/kml/ext/2.2" xmlns:kml="http://www.opengis.net/kml/2.2" xmlns:atom="http://www.w3.org/2005/Atom"&gt;
&lt;Document&gt;
	&lt;name&gt;Baixao do Carlos e Coqueiro Verde 68.2022.kmz&lt;/name&gt;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&lt;LineStyle&gt;
			&lt;color&gt;ff0000ff&lt;/color&gt;
			&lt;width&gt;7&lt;/width&gt;
		&lt;/LineStyle&gt;
	&lt;/Style&gt;
	&lt;Style id="s_ylw-pushpin_hl"&gt;
		&lt;IconStyle&gt;
			&lt;scale&gt;1.3&lt;/scale&gt;
			&lt;Icon&gt;
				&lt;href&gt;http://maps.google.com/mapfiles/kml/pushpin/ylw-pushpin.png&lt;/href&gt;
			&lt;/Icon&gt;
			&lt;hotSpot x="20" y="2" xunits="pixels" yunits="pixels"/&gt;
		&lt;/IconStyle&gt;
		&lt;LineStyle&gt;
			&lt;color&gt;ff0000ff&lt;/color&gt;
			&lt;width&gt;7&lt;/width&gt;
		&lt;/LineStyle&gt;
	&lt;/Style&gt;
	&lt;Placemark&gt;
		&lt;name&gt;Caminho sem título&lt;/name&gt;
		&lt;styleUrl&gt;#m_ylw-pushpin&lt;/styleUrl&gt;
		&lt;LineString&gt;
			&lt;tessellate&gt;1&lt;/tessellate&gt;
			&lt;coordinates&gt;
				-42.76393953240802,-4.908319456242687,0 -42.76212531494188,-4.907284576337737,0 -42.76125747676605,-4.906838688287243,0 -42.76070798686715,-4.906603153651764,0 -42.76003432653464,-4.906315816232752,0 
			&lt;/coordinates&gt;
		&lt;/LineString&gt;
		&lt;atom:link rel="app" href="https://www.google.com/earth/about/versions/#earth-pro" title="Google Earth Pro 7.3.6.10201"&gt;&lt;/atom:link&gt;
	&lt;/Placemark&gt;
&lt;/Document&gt;
&lt;/kml&gt;</t>
  </si>
  <si>
    <t>PAVIMENTAÇÃO DE VIAS PÚBLICAS EM PARALELEPÍPEDO 7.266M² NO MUNICÍPIO DE TERESINA - PI CONTRATO 126/2024</t>
  </si>
  <si>
    <t>&lt;?xml version="1.0" encoding="UTF-8"?&gt;
&lt;kml xmlns="http://www.opengis.net/kml/2.2" xmlns:gx="http://www.google.com/kml/ext/2.2" xmlns:kml="http://www.opengis.net/kml/2.2" xmlns:atom="http://www.w3.org/2005/Atom"&gt;
&lt;Document&gt;
	&lt;name&gt;12849.kmz&lt;/name&gt;
	&lt;StyleMap id="m_ylw-pushpin"&gt;
		&lt;Pair&gt;
			&lt;key&gt;normal&lt;/key&gt;
			&lt;styleUrl&gt;#s_ylw-pushpin&lt;/styleUrl&gt;
		&lt;/Pair&gt;
		&lt;Pair&gt;
			&lt;key&gt;highlight&lt;/key&gt;
			&lt;styleUrl&gt;#s_ylw-pushpin_hl0&lt;/styleUrl&gt;
		&lt;/Pair&gt;
	&lt;/StyleMap&gt;
	&lt;StyleMap id="m_ylw-pushpin0"&gt;
		&lt;Pair&gt;
			&lt;key&gt;normal&lt;/key&gt;
			&lt;styleUrl&gt;#s_ylw-pushpin0&lt;/styleUrl&gt;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id="s_ylw-pushpin0"&gt;
		&lt;IconStyle&gt;
			&lt;scale&gt;1.1&lt;/scale&gt;
			&lt;Icon&gt;
				&lt;href&gt;http://maps.google.com/mapfiles/kml/pushpin/ylw-pushpin.png&lt;/href&gt;
			&lt;/Icon&gt;
			&lt;hotSpot x="20" y="2" xunits="pixels" yunits="pixels"/&gt;
		&lt;/IconStyle&gt;
		&lt;LineStyle&gt;
			&lt;color&gt;ff0000ff&lt;/color&gt;
			&lt;width&gt;6&lt;/width&gt;
		&lt;/LineStyle&gt;
	&lt;/Style&gt;
	&lt;Style id="s_ylw-pushpin_hl"&gt;
		&lt;IconStyle&gt;
			&lt;scale&gt;1.3&lt;/scale&gt;
			&lt;Icon&gt;
				&lt;href&gt;http://maps.google.com/mapfiles/kml/pushpin/ylw-pushpin.png&lt;/href&gt;
			&lt;/Icon&gt;
			&lt;hotSpot x="20" y="2" xunits="pixels" yunits="pixels"/&gt;
		&lt;/IconStyle&gt;
		&lt;LineStyle&gt;
			&lt;color&gt;ff0000ff&lt;/color&gt;
			&lt;width&gt;6&lt;/width&gt;
		&lt;/LineStyle&gt;
	&lt;/Style&gt;
	&lt;Style id="s_ylw-pushpin_hl0"&gt;
		&lt;IconStyle&gt;
			&lt;scale&gt;1.3&lt;/scale&gt;
			&lt;Icon&gt;
				&lt;href&gt;http://maps.google.com/mapfiles/kml/pushpin/ylw-pushpin.png&lt;/href&gt;
			&lt;/Icon&gt;
			&lt;hotSpot x="20" y="2" xunits="pixels" yunits="pixels"/&gt;
		&lt;/IconStyle&gt;
	&lt;/Style&gt;
	&lt;Folder&gt;
		&lt;name&gt;TERESINA 7.266&lt;/name&gt;
		&lt;open&gt;1&lt;/open&gt;
		&lt;Placemark&gt;
			&lt;name&gt;  5° 2&amp;apos;17.55&amp;quot;S /  42°40&amp;apos;13.88&amp;quot;O&lt;/name&gt;
			&lt;LookAt&gt;
				&lt;longitude&gt;-42.77141625780283&lt;/longitude&gt;
				&lt;latitude&gt;-5.130110846834706&lt;/latitude&gt;
				&lt;altitude&gt;0&lt;/altitude&gt;
				&lt;heading&gt;-0.00252096360435117&lt;/heading&gt;
				&lt;tilt&gt;3.351289588221163&lt;/tilt&gt;
				&lt;range&gt;124664.6697621973&lt;/range&gt;
				&lt;gx:altitudeMode&gt;relativeToSeaFloor&lt;/gx:altitudeMode&gt;
			&lt;/LookAt&gt;
			&lt;styleUrl&gt;#m_ylw-pushpin&lt;/styleUrl&gt;
			&lt;Point&gt;
				&lt;gx:drawOrder&gt;1&lt;/gx:drawOrder&gt;
				&lt;coordinates&gt;-42.67052222222222,-5.038208333333333,0&lt;/coordinates&gt;
			&lt;/Point&gt;
		&lt;/Placemark&gt;
		&lt;Placemark&gt;
			&lt;name&gt;  5° 2&amp;apos;21.17&amp;quot;S /  42°40&amp;apos;19.44&amp;quot;O&lt;/name&gt;
			&lt;LookAt&gt;
				&lt;longitude&gt;-42.67367626971662&lt;/longitude&gt;
				&lt;latitude&gt;-5.091367023694347&lt;/latitude&gt;
				&lt;altitude&gt;0&lt;/altitude&gt;
				&lt;heading&gt;-0.01114084390151963&lt;/heading&gt;
				&lt;tilt&gt;9.728451482675379&lt;/tilt&gt;
				&lt;range&gt;5147.961722950184&lt;/range&gt;
				&lt;gx:altitudeMode&gt;relativeToSeaFloor&lt;/gx:altitudeMode&gt;
			&lt;/LookAt&gt;
			&lt;styleUrl&gt;#m_ylw-pushpin&lt;/styleUrl&gt;
			&lt;Point&gt;
				&lt;gx:drawOrder&gt;1&lt;/gx:drawOrder&gt;
				&lt;coordinates&gt;-42.67206666666667,-5.039213888888889,0&lt;/coordinates&gt;
			&lt;/Point&gt;
		&lt;/Placemark&gt;
		&lt;Placemark&gt;
			&lt;name&gt;RUA PROJETADA 01&lt;/name&gt;
			&lt;styleUrl&gt;#m_ylw-pushpin0&lt;/styleUrl&gt;
			&lt;LineString&gt;
				&lt;tessellate&gt;1&lt;/tessellate&gt;
				&lt;coordinates&gt;
					-42.67204399332017,-5.039204620070772,0 -42.67159540095087,-5.039148790658086,0 -42.67130083157375,-5.039118425047647,0 -42.67093013741012,-5.039091382554337,0 -42.67077633353816,-5.039073719922492,0 -42.67066837743686,-5.039026547987447,0 -42.6705950575402,-5.03892698424818,0 -42.67055481477082,-5.038761693253553,0 -42.67049837670241,-5.038194084878249,0 
				&lt;/coordinates&gt;
			&lt;/LineString&gt;
		&lt;/Placemark&gt;
		&lt;Placemark&gt;
			&lt;name&gt;  5° 2&amp;apos;25.08&amp;quot;S /  42°40&amp;apos;15.50&amp;quot;O&lt;/name&gt;
			&lt;LookAt&gt;
				&lt;longitude&gt;-42.67131790994464&lt;/longitude&gt;
				&lt;latitude&gt;-5.03957361280744&lt;/latitude&gt;
				&lt;altitude&gt;0&lt;/altitude&gt;
				&lt;heading&gt;-0.01359349296883366&lt;/heading&gt;
				&lt;tilt&gt;27.89743952764536&lt;/tilt&gt;
				&lt;range&gt;458.4646285749892&lt;/range&gt;
				&lt;gx:altitudeMode&gt;relativeToSeaFloor&lt;/gx:altitudeMode&gt;
			&lt;/LookAt&gt;
			&lt;styleUrl&gt;#m_ylw-pushpin&lt;/styleUrl&gt;
			&lt;Point&gt;
				&lt;gx:drawOrder&gt;1&lt;/gx:drawOrder&gt;
				&lt;coordinates&gt;-42.67097222222222,-5.0403,0&lt;/coordinates&gt;
			&lt;/Point&gt;
		&lt;/Placemark&gt;
		&lt;Placemark&gt;
			&lt;name&gt;  5° 2&amp;apos;25.46&amp;quot;S /  42°40&amp;apos;18.08&amp;quot;O&lt;/name&gt;
			&lt;LookAt&gt;
				&lt;longitude&gt;-42.67131790994464&lt;/longitude&gt;
				&lt;latitude&gt;-5.03957361280744&lt;/latitude&gt;
				&lt;altitude&gt;0&lt;/altitude&gt;
				&lt;heading&gt;-0.01359349296883366&lt;/heading&gt;
				&lt;tilt&gt;27.89743952764536&lt;/tilt&gt;
				&lt;range&gt;458.4646285749892&lt;/range&gt;
				&lt;gx:altitudeMode&gt;relativeToSeaFloor&lt;/gx:altitudeMode&gt;
			&lt;/LookAt&gt;
			&lt;styleUrl&gt;#m_ylw-pushpin&lt;/styleUrl&gt;
			&lt;Point&gt;
				&lt;gx:drawOrder&gt;1&lt;/gx:drawOrder&gt;
				&lt;coordinates&gt;-42.67168888888889,-5.040405555555555,0&lt;/coordinates&gt;
			&lt;/Point&gt;
		&lt;/Placemark&gt;
		&lt;Placemark&gt;
			&lt;name&gt;RUA PROJETADA 02&lt;/name&gt;
			&lt;styleUrl&gt;#m_ylw-pushpin0&lt;/styleUrl&gt;
			&lt;LineString&gt;
				&lt;tessellate&gt;1&lt;/tessellate&gt;
				&lt;coordinates&gt;
					-42.67169791567508,-5.040405411603462,0 -42.67094855374216,-5.040297550268927,0 
				&lt;/coordinates&gt;
			&lt;/LineString&gt;
		&lt;/Placemark&gt;
		&lt;Placemark&gt;
			&lt;name&gt;  5° 2&amp;apos;25.59&amp;quot;S /  42°40&amp;apos;18.13&amp;quot;O&lt;/name&gt;
			&lt;LookAt&gt;
				&lt;longitude&gt;-42.67122553672722&lt;/longitude&gt;
				&lt;latitude&gt;-5.039618920533615&lt;/latitude&gt;
				&lt;altitude&gt;0&lt;/altitude&gt;
				&lt;heading&gt;-0.01368903695396836&lt;/heading&gt;
				&lt;tilt&gt;30.00285331624613&lt;/tilt&gt;
				&lt;range&gt;635.2628355852738&lt;/range&gt;
				&lt;gx:altitudeMode&gt;relativeToSeaFloor&lt;/gx:altitudeMode&gt;
			&lt;/LookAt&gt;
			&lt;styleUrl&gt;#m_ylw-pushpin&lt;/styleUrl&gt;
			&lt;Point&gt;
				&lt;gx:drawOrder&gt;1&lt;/gx:drawOrder&gt;
				&lt;coordinates&gt;-42.67170277777777,-5.040441666666666,0&lt;/coordinates&gt;
			&lt;/Point&gt;
		&lt;/Placemark&gt;
		&lt;Placemark&gt;
			&lt;name&gt;  5° 2&amp;apos;17.97&amp;quot;S /  42°40&amp;apos;20.41&amp;quot;O&lt;/name&gt;
			&lt;LookAt&gt;
				&lt;longitude&gt;-42.67221515313104&lt;/longitude&gt;
				&lt;latitude&gt;-5.038569333550665&lt;/latitude&gt;
				&lt;altitude&gt;0&lt;/altitude&gt;
				&lt;heading&gt;-0.01368133774140007&lt;/heading&gt;
				&lt;tilt&gt;28.32525799869579&lt;/tilt&gt;
				&lt;range&gt;162.1614753000109&lt;/range&gt;
				&lt;gx:altitudeMode&gt;relativeToSeaFloor&lt;/gx:altitudeMode&gt;
			&lt;/LookAt&gt;
			&lt;styleUrl&gt;#m_ylw-pushpin&lt;/styleUrl&gt;
			&lt;Point&gt;
				&lt;gx:drawOrder&gt;1&lt;/gx:drawOrder&gt;
				&lt;coordinates&gt;-42.67233611111111,-5.038324999999999,0&lt;/coordinates&gt;
			&lt;/Point&gt;
		&lt;/Placemark&gt;
		&lt;Placemark&gt;
			&lt;name&gt;RUA PROJETADA 03&lt;/name&gt;
			&lt;styleUrl&gt;#m_ylw-pushpin0&lt;/styleUrl&gt;
			&lt;LineString&gt;
				&lt;tessellate&gt;1&lt;/tessellate&gt;
				&lt;coordinates&gt;
					-42.67170048874327,-5.040403624705471,0 -42.67177222733114,-5.040192514217192,0 -42.67183801212808,-5.040006187965619,0 -42.67193758158849,-5.039636649895235,0 -42.67205658572705,-5.039180917204058,0 -42.67230816411404,-5.038300967212383,0 
				&lt;/coordinates&gt;
			&lt;/LineString&gt;
		&lt;/Placemark&gt;
		&lt;Placemark&gt;
			&lt;name&gt;  5° 2&amp;apos;13.38&amp;quot;S /  42°40&amp;apos;20.38&amp;quot;O&lt;/name&gt;
			&lt;LookAt&gt;
				&lt;longitude&gt;-42.67168513882058&lt;/longitude&gt;
				&lt;latitude&gt;-5.039240379224604&lt;/latitude&gt;
				&lt;altitude&gt;0&lt;/altitude&gt;
				&lt;heading&gt;-0.01372783033086458&lt;/heading&gt;
				&lt;tilt&gt;28.32635700856363&lt;/tilt&gt;
				&lt;range&gt;420.0106445107878&lt;/range&gt;
				&lt;gx:altitudeMode&gt;relativeToSeaFloor&lt;/gx:altitudeMode&gt;
			&lt;/LookAt&gt;
			&lt;styleUrl&gt;#m_ylw-pushpin&lt;/styleUrl&gt;
			&lt;Point&gt;
				&lt;gx:drawOrder&gt;1&lt;/gx:drawOrder&gt;
				&lt;coordinates&gt;-42.67232777777777,-5.03705,0&lt;/coordinates&gt;
			&lt;/Point&gt;
		&lt;/Placemark&gt;
		&lt;Placemark&gt;
			&lt;name&gt;  5° 2&amp;apos;21.29&amp;quot;S /  42°40&amp;apos;37.10&amp;quot;O&lt;/name&gt;
			&lt;LookAt&gt;
				&lt;longitude&gt;-42.67168513882058&lt;/longitude&gt;
				&lt;latitude&gt;-5.039240379224604&lt;/latitude&gt;
				&lt;altitude&gt;0&lt;/altitude&gt;
				&lt;heading&gt;-0.01372783033086458&lt;/heading&gt;
				&lt;tilt&gt;28.32635700856363&lt;/tilt&gt;
				&lt;range&gt;420.0106445107878&lt;/range&gt;
				&lt;gx:altitudeMode&gt;relativeToSeaFloor&lt;/gx:altitudeMode&gt;
			&lt;/LookAt&gt;
			&lt;styleUrl&gt;#m_ylw-pushpin&lt;/styleUrl&gt;
			&lt;Point&gt;
				&lt;gx:drawOrder&gt;1&lt;/gx:drawOrder&gt;
				&lt;coordinates&gt;-42.67697222222222,-5.039247222222222,0&lt;/coordinates&gt;
			&lt;/Point&gt;
		&lt;/Placemark&gt;
		&lt;Placemark&gt;
			&lt;name&gt;RUA PROJETADA 05&lt;/name&gt;
			&lt;styleUrl&gt;#m_ylw-pushpin0&lt;/styleUrl&gt;
			&lt;LineString&gt;
				&lt;tessellate&gt;1&lt;/tessellate&gt;
				&lt;coordinates&gt;
					-42.67695919054412,-5.039248994179139,0 -42.6761709221111,-5.039755592564435,0 -42.67577907534566,-5.039562983596168,0 -42.6753217427488,-5.039396003523409,0 -42.67490608230674,-5.039319139670924,0 -42.67457007358404,-5.039215039092393,0 -42.67403534882676,-5.039053275931013,0 -42.67361803822134,-5.038866191206955,0 -42.67325612370359,-5.038585704959647,0 -42.67293792606934,-5.038205249766227,0 -42.67268339876982,-5.037812416659603,0 -42.67247504501781,-5.037453560926116,0 -42.6723161151215,-5.037007141154543,0 
				&lt;/coordinates&gt;
			&lt;/LineString&gt;
		&lt;/Placemark&gt;
		&lt;Placemark&gt;
			&lt;name&gt;  5° 2&amp;apos;16.22&amp;quot;S /  42°40&amp;apos;21.82&amp;quot;O&lt;/name&gt;
			&lt;LookAt&gt;
				&lt;longitude&gt;-42.6729874879901&lt;/longitude&gt;
				&lt;latitude&gt;-5.03767668078541&lt;/latitude&gt;
				&lt;altitude&gt;0&lt;/altitude&gt;
				&lt;heading&gt;-0.0144123408228251&lt;/heading&gt;
				&lt;tilt&gt;24.35330818644929&lt;/tilt&gt;
				&lt;range&gt;609.1691173541427&lt;/range&gt;
				&lt;gx:altitudeMode&gt;relativeToSeaFloor&lt;/gx:altitudeMode&gt;
			&lt;/LookAt&gt;
			&lt;styleUrl&gt;#m_ylw-pushpin&lt;/styleUrl&gt;
			&lt;Point&gt;
				&lt;gx:drawOrder&gt;1&lt;/gx:drawOrder&gt;
				&lt;coordinates&gt;-42.67272777777777,-5.037838888888889,0&lt;/coordinates&gt;
			&lt;/Point&gt;
		&lt;/Placemark&gt;
		&lt;Placemark&gt;
			&lt;name&gt;  5° 2&amp;apos;17.93&amp;quot;S /  42°40&amp;apos;20.25&amp;quot;O&lt;/name&gt;
			&lt;LookAt&gt;
				&lt;longitude&gt;-42.67232777937151&lt;/longitude&gt;
				&lt;latitude&gt;-5.038434212948539&lt;/latitude&gt;
				&lt;altitude&gt;0&lt;/altitude&gt;
				&lt;heading&gt;-0.01331069258282194&lt;/heading&gt;
				&lt;tilt&gt;30.00096893439838&lt;/tilt&gt;
				&lt;range&gt;215.6698808428601&lt;/range&gt;
				&lt;gx:altitudeMode&gt;relativeToSeaFloor&lt;/gx:altitudeMode&gt;
			&lt;/LookAt&gt;
			&lt;styleUrl&gt;#m_ylw-pushpin&lt;/styleUrl&gt;
			&lt;Point&gt;
				&lt;gx:drawOrder&gt;1&lt;/gx:drawOrder&gt;
				&lt;coordinates&gt;-42.67229166666667,-5.038313888888889,0&lt;/coordinates&gt;
			&lt;/Point&gt;
		&lt;/Placemark&gt;
		&lt;Placemark&gt;
			&lt;name&gt;RUA PROJETADA 04&lt;/name&gt;
			&lt;styleUrl&gt;#m_ylw-pushpin0&lt;/styleUrl&gt;
			&lt;LineString&gt;
				&lt;tessellate&gt;1&lt;/tessellate&gt;
				&lt;coordinates&gt;
					-42.67270562037828,-5.037819959388054,0 -42.67256947420825,-5.038311726968932,0 -42.67227350783176,-5.038311687828597,0 
				&lt;/coordinates&gt;
			&lt;/LineString&gt;
		&lt;/Placemark&gt;
		&lt;Placemark&gt;
			&lt;name&gt;  5° 2&amp;apos;5.97&amp;quot;S /  42°39&amp;apos;53.61&amp;quot;O&lt;/name&gt;
			&lt;LookAt&gt;
				&lt;longitude&gt;-42.67235812551876&lt;/longitude&gt;
				&lt;latitude&gt;-5.034229207012638&lt;/latitude&gt;
				&lt;altitude&gt;0&lt;/altitude&gt;
				&lt;heading&gt;-0.01372889636340312&lt;/heading&gt;
				&lt;tilt&gt;27.52541361708687&lt;/tilt&gt;
				&lt;range&gt;337.2853047866567&lt;/range&gt;
				&lt;gx:altitudeMode&gt;relativeToSeaFloor&lt;/gx:altitudeMode&gt;
			&lt;/LookAt&gt;
			&lt;styleUrl&gt;#m_ylw-pushpin&lt;/styleUrl&gt;
			&lt;Point&gt;
				&lt;gx:drawOrder&gt;1&lt;/gx:drawOrder&gt;
				&lt;coordinates&gt;-42.66489166666666,-5.034991666666667,0&lt;/coordinates&gt;
			&lt;/Point&gt;
		&lt;/Placemark&gt;
		&lt;Placemark&gt;
			&lt;name&gt;  5° 2&amp;apos;3.81&amp;quot;S /  42°40&amp;apos;2.42&amp;quot;O&lt;/name&gt;
			&lt;LookAt&gt;
				&lt;longitude&gt;-42.66632451154887&lt;/longitude&gt;
				&lt;latitude&gt;-5.034807417411317&lt;/latitude&gt;
				&lt;altitude&gt;0&lt;/altitude&gt;
				&lt;heading&gt;-4.185638782805031&lt;/heading&gt;
				&lt;tilt&gt;30.00109793552638&lt;/tilt&gt;
				&lt;range&gt;244.4538410867827&lt;/range&gt;
				&lt;gx:altitudeMode&gt;relativeToSeaFloor&lt;/gx:altitudeMode&gt;
			&lt;/LookAt&gt;
			&lt;styleUrl&gt;#m_ylw-pushpin&lt;/styleUrl&gt;
			&lt;Point&gt;
				&lt;gx:drawOrder&gt;1&lt;/gx:drawOrder&gt;
				&lt;coordinates&gt;-42.66733888888889,-5.034391666666666,0&lt;/coordinates&gt;
			&lt;/Point&gt;
		&lt;/Placemark&gt;
		&lt;Placemark&gt;
			&lt;name&gt;RUA PROJETADA 06&lt;/name&gt;
			&lt;styleUrl&gt;#m_ylw-pushpin0&lt;/styleUrl&gt;
			&lt;LineString&gt;
				&lt;tessellate&gt;1&lt;/tessellate&gt;
				&lt;coordinates&gt;
					-42.66737117740071,-5.034371431375444,0 -42.66488965960557,-5.034974355011828,0 
				&lt;/coordinates&gt;
			&lt;/LineString&gt;
		&lt;/Placemark&gt;
		&lt;Placemark&gt;
			&lt;name&gt;  5° 1&amp;apos;54.65&amp;quot;S /  42°39&amp;apos;55.70&amp;quot;O&lt;/name&gt;
			&lt;LookAt&gt;
				&lt;longitude&gt;-42.66571066601592&lt;/longitude&gt;
				&lt;latitude&gt;-5.034018752887154&lt;/latitude&gt;
				&lt;altitude&gt;0&lt;/altitude&gt;
				&lt;heading&gt;-4.1857034300645&lt;/heading&gt;
				&lt;tilt&gt;25.5532137565989&lt;/tilt&gt;
				&lt;range&gt;724.5070557995127&lt;/range&gt;
				&lt;gx:altitudeMode&gt;relativeToSeaFloor&lt;/gx:altitudeMode&gt;
			&lt;/LookAt&gt;
			&lt;styleUrl&gt;#m_ylw-pushpin&lt;/styleUrl&gt;
			&lt;Point&gt;
				&lt;gx:drawOrder&gt;1&lt;/gx:drawOrder&gt;
				&lt;coordinates&gt;-42.66547222222222,-5.031847222222222,0&lt;/coordinates&gt;
			&lt;/Point&gt;
		&lt;/Placemark&gt;
		&lt;Placemark&gt;
			&lt;name&gt;  5° 1&amp;apos;52.16&amp;quot;S /  42°39&amp;apos;53.59&amp;quot;O&lt;/name&gt;
			&lt;LookAt&gt;
				&lt;longitude&gt;-42.66811912002706&lt;/longitude&gt;
				&lt;latitude&gt;-5.033925738307155&lt;/latitude&gt;
				&lt;altitude&gt;0&lt;/altitude&gt;
				&lt;heading&gt;-4.185491919318361&lt;/heading&gt;
				&lt;tilt&gt;25.55633277620613&lt;/tilt&gt;
				&lt;range&gt;1529.542321927638&lt;/range&gt;
				&lt;gx:altitudeMode&gt;relativeToSeaFloor&lt;/gx:altitudeMode&gt;
			&lt;/LookAt&gt;
			&lt;styleUrl&gt;#m_ylw-pushpin&lt;/styleUrl&gt;
			&lt;Point&gt;
				&lt;gx:drawOrder&gt;1&lt;/gx:drawOrder&gt;
				&lt;coordinates&gt;-42.66488611111111,-5.031155555555555,0&lt;/coordinates&gt;
			&lt;/Point&gt;
		&lt;/Placemark&gt;
		&lt;Placemark&gt;
			&lt;name&gt;RUA PROJETADA 07&lt;/name&gt;
			&lt;styleUrl&gt;#m_ylw-pushpin0&lt;/styleUrl&gt;
			&lt;LineString&gt;
				&lt;tessellate&gt;1&lt;/tessellate&gt;
				&lt;coordinates&gt;
					-42.66545825862659,-5.031859216259755,0 -42.66488170585132,-5.031144636302729,0 
				&lt;/coordinates&gt;
			&lt;/LineString&gt;
		&lt;/Placemark&gt;
		&lt;atom:link rel="app" href="https://www.google.com/earth/about/versions/#earth-pro" title="Google Earth Pro 7.3.6.10201"&gt;&lt;/atom:link&gt;
	&lt;/Folder&gt;
&lt;/Document&gt;
&lt;/kml&gt;</t>
  </si>
  <si>
    <t>PAVIMENTAÇÃO EM PARALELEPÍPEDO (POVOADO ZÉ DE HOLANDA) - TERESINA PIAUÍ</t>
  </si>
  <si>
    <t>POVOADO ZE HOLANDA</t>
  </si>
  <si>
    <t>&lt;?xml version="1.0" encoding="UTF-8"?&gt;
&lt;kml xmlns="http://www.opengis.net/kml/2.2" xmlns:gx="http://www.google.com/kml/ext/2.2" xmlns:kml="http://www.opengis.net/kml/2.2" xmlns:atom="http://www.w3.org/2005/Atom"&gt;
&lt;Document&gt;
	&lt;name&gt;ID 10675.kml&lt;/name&gt;
	&lt;StyleMap id="m_ylw-pushpin"&gt;
		&lt;Pair&gt;
			&lt;key&gt;normal&lt;/key&gt;
			&lt;styleUrl&gt;#s_ylw-pushpin&lt;/styleUrl&gt;
		&lt;/Pair&gt;
		&lt;Pair&gt;
			&lt;key&gt;highlight&lt;/key&gt;
			&lt;styleUrl&gt;#s_ylw-pushpin_hl&lt;/styleUrl&gt;
		&lt;/Pair&gt;
	&lt;/StyleMap&gt;
	&lt;StyleMap id="msn_ylw-pushpin"&gt;
		&lt;Pair&gt;
			&lt;key&gt;normal&lt;/key&gt;
			&lt;styleUrl&gt;#sn_ylw-pushpin&lt;/styleUrl&gt;
		&lt;/Pair&gt;
		&lt;Pair&gt;
			&lt;key&gt;highlight&lt;/key&gt;
			&lt;styleUrl&gt;#sh_ylw-pushpin&lt;/styleUrl&gt;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&lt;Style id="sh_ylw-pushpin"&gt;
		&lt;IconStyle&gt;
			&lt;scale&gt;1.3&lt;/scale&gt;
			&lt;Icon&gt;
				&lt;href&gt;http://maps.google.com/mapfiles/kml/pushpin/ylw-pushpin.png&lt;/href&gt;
			&lt;/Icon&gt;
			&lt;hotSpot x="20" y="2" xunits="pixels" yunits="pixels"/&gt;
		&lt;/IconStyle&gt;
		&lt;BalloonStyle&gt;
		&lt;/BalloonStyle&gt;
		&lt;LineStyle&gt;
			&lt;color&gt;ff0000ff&lt;/color&gt;
			&lt;width&gt;5&lt;/width&gt;
		&lt;/LineStyle&gt;
	&lt;/Style&gt;
	&lt;Style id="sn_ylw-pushpin"&gt;
		&lt;IconStyle&gt;
			&lt;scale&gt;1.1&lt;/scale&gt;
			&lt;Icon&gt;
				&lt;href&gt;http://maps.google.com/mapfiles/kml/pushpin/ylw-pushpin.png&lt;/href&gt;
			&lt;/Icon&gt;
			&lt;hotSpot x="20" y="2" xunits="pixels" yunits="pixels"/&gt;
		&lt;/IconStyle&gt;
		&lt;BalloonStyle&gt;
		&lt;/BalloonStyle&gt;
		&lt;LineStyle&gt;
			&lt;color&gt;ff0000ff&lt;/color&gt;
			&lt;width&gt;5&lt;/width&gt;
		&lt;/LineStyle&gt;
	&lt;/Style&gt;
	&lt;Folder&gt;
		&lt;name&gt;ID 10675&lt;/name&gt;
		&lt;Placemark&gt;
			&lt;name&gt;Rua Francisca Trindade II&lt;/name&gt;
			&lt;styleUrl&gt;#msn_ylw-pushpin&lt;/styleUrl&gt;
			&lt;LineString&gt;
				&lt;tessellate&gt;1&lt;/tessellate&gt;
				&lt;coordinates&gt;
					-42.74161870159246,-4.886905816082797,0 -42.74162882198225,-4.886900324238585,0 -42.74366156124193,-4.885956188254596,0 
				&lt;/coordinates&gt;
			&lt;/LineString&gt;
		&lt;/Placemark&gt;
		&lt;Placemark&gt;
			&lt;name&gt;Rua Francisca Trindade I&lt;/name&gt;
			&lt;styleUrl&gt;#msn_ylw-pushpin&lt;/styleUrl&gt;
			&lt;LineString&gt;
				&lt;tessellate&gt;1&lt;/tessellate&gt;
				&lt;coordinates&gt;
					-42.75294603465811,-4.883405422263009,0 -42.75460764599184,-4.884119105161573,0 
				&lt;/coordinates&gt;
			&lt;/LineString&gt;
		&lt;/Placemark&gt;
		&lt;Placemark&gt;
			&lt;name&gt;Rua São José&lt;/name&gt;
			&lt;styleUrl&gt;#msn_ylw-pushpin&lt;/styleUrl&gt;
			&lt;LineString&gt;
				&lt;tessellate&gt;1&lt;/tessellate&gt;
				&lt;coordinates&gt;
					-42.76328919394152,-4.919333857463093,0 -42.76366644888564,-4.919935525308277,0 -42.76370663876774,-4.920018973122231,0 -42.76373047819888,-4.920118839664391,0 
				&lt;/coordinates&gt;
			&lt;/LineString&gt;
		&lt;/Placemark&gt;
		&lt;Placemark&gt;
			&lt;name&gt;Avenida Principal Povoado Zé Holanda&lt;/name&gt;
			&lt;styleUrl&gt;#msn_ylw-pushpin&lt;/styleUrl&gt;
			&lt;LineString&gt;
				&lt;tessellate&gt;1&lt;/tessellate&gt;
				&lt;coordinates&gt;
					-42.76559906849944,-4.909229247236268,0 -42.76189609395181,-4.907165894638508,0 -42.76128750503318,-4.906826296786424,0 -42.76059729923549,-4.90655436742525,0 -42.76029045855326,-4.906454337595756,0 -42.76001677901902,-4.906314117986927,0 
				&lt;/coordinates&gt;
			&lt;/LineString&gt;
		&lt;/Placemark&gt;
		&lt;Placemark&gt;
			&lt;name&gt;Rua do Aconchego&lt;/name&gt;
			&lt;styleUrl&gt;#msn_ylw-pushpin&lt;/styleUrl&gt;
			&lt;LineString&gt;
				&lt;tessellate&gt;1&lt;/tessellate&gt;
				&lt;coordinates&gt;
					-42.67350166750711,-4.926593073720506,0 -42.67362182938173,-4.927085386606306,0 -42.67309645218143,-4.927294275462204,0 -42.67237823427386,-4.927524359120519,0 
				&lt;/coordinates&gt;
			&lt;/LineString&gt;
		&lt;/Placemark&gt;
		&lt;Placemark&gt;
			&lt;name&gt;Rua Francisca Trindade 2&lt;/name&gt;
			&lt;LookAt&gt;
				&lt;longitude&gt;-42.74295433066181&lt;/longitude&gt;
				&lt;latitude&gt;-4.885882612953099&lt;/latitude&gt;
				&lt;altitude&gt;0&lt;/altitude&gt;
				&lt;heading&gt;-0.004608877926413736&lt;/heading&gt;
				&lt;tilt&gt;30.00198448372306&lt;/tilt&gt;
				&lt;range&gt;441.8221034346179&lt;/range&gt;
				&lt;gx:altitudeMode&gt;relativeToSeaFloor&lt;/gx:altitudeMode&gt;
			&lt;/LookAt&gt;
			&lt;styleUrl&gt;#m_ylw-pushpin&lt;/styleUrl&gt;
			&lt;Point&gt;
				&lt;gx:drawOrder&gt;1&lt;/gx:drawOrder&gt;
				&lt;coordinates&gt;-42.75397,-4.883871666666666,0&lt;/coordinates&gt;
			&lt;/Point&gt;
		&lt;/Placemark&gt;
		&lt;Placemark&gt;
			&lt;name&gt;Campestre&lt;/name&gt;
			&lt;LookAt&gt;
				&lt;longitude&gt;-42.74267893497412&lt;/longitude&gt;
				&lt;latitude&gt;-4.885888285177677&lt;/latitude&gt;
				&lt;altitude&gt;0&lt;/altitude&gt;
				&lt;heading&gt;-0.004692217601016921&lt;/heading&gt;
				&lt;tilt&gt;26.82539244904563&lt;/tilt&gt;
				&lt;range&gt;444.9239266068556&lt;/range&gt;
				&lt;gx:altitudeMode&gt;relativeToSeaFloor&lt;/gx:altitudeMode&gt;
			&lt;/LookAt&gt;
			&lt;styleUrl&gt;#m_ylw-pushpin&lt;/styleUrl&gt;
			&lt;Point&gt;
				&lt;gx:drawOrder&gt;1&lt;/gx:drawOrder&gt;
				&lt;coordinates&gt;-42.74444444444445,-4.885555555555555,0&lt;/coordinates&gt;
			&lt;/Point&gt;
		&lt;/Placemark&gt;
		&lt;Placemark&gt;
			&lt;name&gt;Rua francisca Trindade 1&lt;/name&gt;
			&lt;LookAt&gt;
				&lt;longitude&gt;-42.80230655872302&lt;/longitude&gt;
				&lt;latitude&gt;-5.096124178787326&lt;/latitude&gt;
				&lt;altitude&gt;0&lt;/altitude&gt;
				&lt;heading&gt;5.216166132445763e-09&lt;/heading&gt;
				&lt;tilt&gt;0&lt;/tilt&gt;
				&lt;range&gt;35043.47639522429&lt;/range&gt;
				&lt;gx:altitudeMode&gt;relativeToSeaFloor&lt;/gx:altitudeMode&gt;
			&lt;/LookAt&gt;
			&lt;styleUrl&gt;#m_ylw-pushpin&lt;/styleUrl&gt;
			&lt;Point&gt;
				&lt;gx:drawOrder&gt;1&lt;/gx:drawOrder&gt;
				&lt;coordinates&gt;-42.74333277777778,-4.886050833333333,0&lt;/coordinates&gt;
			&lt;/Point&gt;
		&lt;/Placemark&gt;
		&lt;Placemark&gt;
			&lt;name&gt;Cacimba Velha&lt;/name&gt;
			&lt;LookAt&gt;
				&lt;longitude&gt;-42.74480032730058&lt;/longitude&gt;
				&lt;latitude&gt;-4.881677986697203&lt;/latitude&gt;
				&lt;altitude&gt;0&lt;/altitude&gt;
				&lt;heading&gt;-0.004403948987699711&lt;/heading&gt;
				&lt;tilt&gt;0&lt;/tilt&gt;
				&lt;range&gt;4120.377347787942&lt;/range&gt;
				&lt;gx:altitudeMode&gt;relativeToSeaFloor&lt;/gx:altitudeMode&gt;
			&lt;/LookAt&gt;
			&lt;styleUrl&gt;#m_ylw-pushpin&lt;/styleUrl&gt;
			&lt;Point&gt;
				&lt;gx:drawOrder&gt;1&lt;/gx:drawOrder&gt;
				&lt;coordinates&gt;-42.67277777777777,-4.9275,0&lt;/coordinates&gt;
			&lt;/Point&gt;
		&lt;/Placemark&gt;
		&lt;Placemark&gt;
			&lt;name&gt;Povoado ze de holanda - São Vicente&lt;/name&gt;
			&lt;LookAt&gt;
				&lt;longitude&gt;-42.74267893443964&lt;/longitude&gt;
				&lt;latitude&gt;-4.88588828398062&lt;/latitude&gt;
				&lt;altitude&gt;0&lt;/altitude&gt;
				&lt;heading&gt;-0.004692216593345632&lt;/heading&gt;
				&lt;tilt&gt;26.82539245024266&lt;/tilt&gt;
				&lt;range&gt;444.9239946997355&lt;/range&gt;
				&lt;gx:altitudeMode&gt;relativeToSeaFloor&lt;/gx:altitudeMode&gt;
			&lt;/LookAt&gt;
			&lt;styleUrl&gt;#m_ylw-pushpin&lt;/styleUrl&gt;
			&lt;Point&gt;
				&lt;gx:drawOrder&gt;1&lt;/gx:drawOrder&gt;
				&lt;coordinates&gt;-42.76388888888889,-4.908333333333334,0&lt;/coordinates&gt;
			&lt;/Point&gt;
		&lt;/Placemark&gt;
		&lt;Placemark&gt;
			&lt;name&gt;Marcador sem título&lt;/name&gt;
			&lt;LookAt&gt;
				&lt;longitude&gt;-42.76199323588138&lt;/longitude&gt;
				&lt;latitude&gt;-4.907111406010911&lt;/latitude&gt;
				&lt;altitude&gt;0&lt;/altitude&gt;
				&lt;heading&gt;-0.001842807709213075&lt;/heading&gt;
				&lt;tilt&gt;8.146159551291186&lt;/tilt&gt;
				&lt;range&gt;714.3054451853595&lt;/range&gt;
				&lt;gx:altitudeMode&gt;relativeToSeaFloor&lt;/gx:altitudeMode&gt;
			&lt;/LookAt&gt;
			&lt;styleUrl&gt;#m_ylw-pushpin&lt;/styleUrl&gt;
			&lt;Point&gt;
				&lt;gx:drawOrder&gt;1&lt;/gx:drawOrder&gt;
				&lt;coordinates&gt;-42.76333333333334,-4.919444444444445,0&lt;/coordinates&gt;
			&lt;/Point&gt;
		&lt;/Placemark&gt;
	&lt;/Folder&gt;
&lt;/Document&gt;
&lt;/kml&gt;</t>
  </si>
  <si>
    <t>EXECUTAR OS SERVIÇOS DE DE RECUPERAÇÃO DE ESTRADA VICINAL 34,97KM DO POVADO JUNCO BR-16 – TERESINA-PI CONTRATO 62/2023</t>
  </si>
  <si>
    <t>POVOADO JUNCO</t>
  </si>
  <si>
    <t>&lt;?xml version="1.0" encoding="UTF-8"?&gt;
&lt;kml xmlns="http://www.opengis.net/kml/2.2" xmlns:gx="http://www.google.com/kml/ext/2.2" xmlns:kml="http://www.opengis.net/kml/2.2" xmlns:atom="http://www.w3.org/2005/Atom"&gt;
&lt;Document&gt;
	&lt;name&gt;11444 - TERESINA-PI.kmz&lt;/name&gt;
	&lt;StyleMap id="m_ylw-pushpin"&gt;
		&lt;Pair&gt;
			&lt;key&gt;normal&lt;/key&gt;
			&lt;styleUrl&gt;#s_ylw-pushpin0&lt;/styleUrl&gt;
		&lt;/Pair&gt;
		&lt;Pair&gt;
			&lt;key&gt;highlight&lt;/key&gt;
			&lt;styleUrl&gt;#s_ylw-pushpin_hl&lt;/styleUrl&gt;
		&lt;/Pair&gt;
	&lt;/StyleMap&gt;
	&lt;StyleMap id="m_ylw-pushpin0"&gt;
		&lt;Pair&gt;
			&lt;key&gt;normal&lt;/key&gt;
			&lt;styleUrl&gt;#s_ylw-pushpin&lt;/styleUrl&gt;
		&lt;/Pair&gt;
		&lt;Pair&gt;
			&lt;key&gt;highlight&lt;/key&gt;
			&lt;styleUrl&gt;#s_ylw-pushpin_hl0&lt;/styleUrl&gt;
		&lt;/Pair&gt;
	&lt;/StyleMap&gt;
	&lt;Style id="s_ylw-pushpin"&gt;
		&lt;IconStyle&gt;
			&lt;scale&gt;1.1&lt;/scale&gt;
			&lt;Icon&gt;
				&lt;href&gt;http://maps.google.com/mapfiles/kml/pushpin/ylw-pushpin.png&lt;/href&gt;
			&lt;/Icon&gt;
			&lt;hotSpot x="20" y="2" xunits="pixels" yunits="pixels"/&gt;
		&lt;/IconStyle&gt;
	&lt;/Style&gt;
	&lt;Style id="s_ylw-pushpin0"&gt;
		&lt;IconStyle&gt;
			&lt;scale&gt;1.1&lt;/scale&gt;
			&lt;Icon&gt;
				&lt;href&gt;http://maps.google.com/mapfiles/kml/pushpin/ylw-pushpin.png&lt;/href&gt;
			&lt;/Icon&gt;
			&lt;hotSpot x="20" y="2" xunits="pixels" yunits="pixels"/&gt;
		&lt;/IconStyle&gt;
		&lt;LineStyle&gt;
			&lt;color&gt;ff0000ff&lt;/color&gt;
			&lt;width&gt;10&lt;/width&gt;
		&lt;/LineStyle&gt;
	&lt;/Style&gt;
	&lt;Style id="s_ylw-pushpin_hl"&gt;
		&lt;IconStyle&gt;
			&lt;scale&gt;1.3&lt;/scale&gt;
			&lt;Icon&gt;
				&lt;href&gt;http://maps.google.com/mapfiles/kml/pushpin/ylw-pushpin.png&lt;/href&gt;
			&lt;/Icon&gt;
			&lt;hotSpot x="20" y="2" xunits="pixels" yunits="pixels"/&gt;
		&lt;/IconStyle&gt;
		&lt;LineStyle&gt;
			&lt;color&gt;ff0000ff&lt;/color&gt;
			&lt;width&gt;10&lt;/width&gt;
		&lt;/LineStyle&gt;
	&lt;/Style&gt;
	&lt;Style id="s_ylw-pushpin_hl0"&gt;
		&lt;IconStyle&gt;
			&lt;scale&gt;1.3&lt;/scale&gt;
			&lt;Icon&gt;
				&lt;href&gt;http://maps.google.com/mapfiles/kml/pushpin/ylw-pushpin.png&lt;/href&gt;
			&lt;/Icon&gt;
			&lt;hotSpot x="20" y="2" xunits="pixels" yunits="pixels"/&gt;
		&lt;/IconStyle&gt;
	&lt;/Style&gt;
	&lt;Folder&gt;
		&lt;name&gt;Lugares temporários&lt;/name&gt;
		&lt;open&gt;1&lt;/open&gt;
		&lt;Placemark&gt;
			&lt;name&gt;Marcador de local sem título&lt;/name&gt;
			&lt;LookAt&gt;
				&lt;longitude&gt;-42.79155931496604&lt;/longitude&gt;
				&lt;latitude&gt;-5.104770105465907&lt;/latitude&gt;
				&lt;altitude&gt;0&lt;/altitude&gt;
				&lt;heading&gt;-0.0009554470013897263&lt;/heading&gt;
				&lt;tilt&gt;0&lt;/tilt&gt;
				&lt;range&gt;70695.0569264443&lt;/range&gt;
				&lt;gx:altitudeMode&gt;relativeToSeaFloor&lt;/gx:altitudeMode&gt;
			&lt;/LookAt&gt;
			&lt;styleUrl&gt;#m_ylw-pushpin0&lt;/styleUrl&gt;
			&lt;Point&gt;
				&lt;gx:drawOrder&gt;1&lt;/gx:drawOrder&gt;
				&lt;coordinates&gt;-42.74601111111111,-5.270766666666667,0&lt;/coordinates&gt;
			&lt;/Point&gt;
		&lt;/Placemark&gt;
		&lt;Placemark&gt;
			&lt;name&gt;Marcador de local sem título&lt;/name&gt;
			&lt;LookAt&gt;
				&lt;longitude&gt;-42.73491707787277&lt;/longitude&gt;
				&lt;latitude&gt;-5.271007544155965&lt;/latitude&gt;
				&lt;altitude&gt;0&lt;/altitude&gt;
				&lt;heading&gt;-0.006085412891777837&lt;/heading&gt;
				&lt;tilt&gt;12.51303762200678&lt;/tilt&gt;
				&lt;range&gt;2112.677133546232&lt;/range&gt;
				&lt;gx:altitudeMode&gt;relativeToSeaFloor&lt;/gx:altitudeMode&gt;
			&lt;/LookAt&gt;
			&lt;styleUrl&gt;#m_ylw-pushpin0&lt;/styleUrl&gt;
			&lt;Point&gt;
				&lt;gx:drawOrder&gt;1&lt;/gx:drawOrder&gt;
				&lt;coordinates&gt;-42.72708333333333,-5.271322222222222,0&lt;/coordinates&gt;
			&lt;/Point&gt;
		&lt;/Placemark&gt;
		&lt;Placemark&gt;
			&lt;name&gt;Caminho sem título&lt;/name&gt;
			&lt;styleUrl&gt;#m_ylw-pushpin&lt;/styleUrl&gt;
			&lt;LineString&gt;
				&lt;tessellate&gt;1&lt;/tessellate&gt;
				&lt;coordinates&gt;
					-42.74603463244252,-5.270746060921049,0 -42.74349473377412,-5.267997518200583,0 -42.74219419217368,-5.269117919052392,0 -42.74178926745602,-5.269522941037739,0 -42.74152696172981,-5.269828388509977,0 -42.74120262643782,-5.270115379650331,0 -42.74097193289387,-5.270222035597453,0 -42.74055353958251,-5.27060048738282,0 -42.74041478880184,-5.2707384628384,0 -42.73911798228246,-5.269467879250466,0 -42.7390018846656,-5.269416302008137,0 -42.73888022783735,-5.269410786562013,0 -42.73865032040963,-5.269492986535884,0 -42.73842703111784,-5.269614982510193,0 -42.73819695908058,-5.269772519130819,0 -42.73767926739751,-5.270184815932078,0 -42.73746567940815,-5.270320838204726,0 -42.7371752260878,-5.270436341869136,0 -42.73686315408067,-5.270544011485644,0 -42.73654338116096,-5.270612988335877,0 -42.73639861353337,-5.270744526879134,0 -42.73611278368168,-5.271045716100321,0 -42.73586979713114,-5.271084010986691,0 -42.73562713378235,-5.270996675767027,0 -42.73541032186039,-5.270902054902614,0 -42.73515297400771,-5.270851177948184,0 -42.73478729317568,-5.270747792596973,0 -42.73465190371829,-5.270671749917031,0 -42.73439869194051,-5.27050287033259,0 -42.73395685875461,-5.270508046332643,0 -42.73357623635577,-5.270482697745049,0 -42.73334460348645,-5.27045431815754,0 -42.73298636973013,-5.270558724085123,0 -42.73248854728597,-5.270622353127229,0 -42.73195866854668,-5.270597694888734,0 -42.73150028142754,-5.270611511758316,0 -42.73104601917623,-5.27064475516545,0 -42.73023512687526,-5.270749059672611,0 -42.72967188107857,-5.270859864887286,0 -42.72907697542099,-5.270991571679137,0 -42.72848613142413,-5.271114339999925,0 -42.72826379814436,-5.271168488191686,0 -42.72789084146174,-5.271274164101064,0 -42.72708152595938,-5.271320111966957,0 
				&lt;/coordinates&gt;
			&lt;/LineString&gt;
		&lt;/Placemark&gt;
		&lt;Placemark&gt;
			&lt;name&gt;Marcador de local sem título&lt;/name&gt;
			&lt;LookAt&gt;
				&lt;longitude&gt;-42.74047219296404&lt;/longitude&gt;
				&lt;latitude&gt;-5.281384778579841&lt;/latitude&gt;
				&lt;altitude&gt;0&lt;/altitude&gt;
				&lt;heading&gt;-0.008731216806462052&lt;/heading&gt;
				&lt;tilt&gt;4.147997350322612&lt;/tilt&gt;
				&lt;range&gt;9647.084927442349&lt;/range&gt;
				&lt;gx:altitudeMode&gt;relativeToSeaFloor&lt;/gx:altitudeMode&gt;
			&lt;/LookAt&gt;
			&lt;styleUrl&gt;#m_ylw-pushpin0&lt;/styleUrl&gt;
			&lt;Point&gt;
				&lt;gx:drawOrder&gt;1&lt;/gx:drawOrder&gt;
				&lt;coordinates&gt;-42.71206944444445,-5.20985,0&lt;/coordinates&gt;
			&lt;/Point&gt;
		&lt;/Placemark&gt;
		&lt;Placemark&gt;
			&lt;name&gt;Marcador de local sem título&lt;/name&gt;
			&lt;LookAt&gt;
				&lt;longitude&gt;-42.70885052380926&lt;/longitude&gt;
				&lt;latitude&gt;-5.211773621282641&lt;/latitude&gt;
				&lt;altitude&gt;0&lt;/altitude&gt;
				&lt;heading&gt;-0.007065616461599856&lt;/heading&gt;
				&lt;tilt&gt;9.449329956246453&lt;/tilt&gt;
				&lt;range&gt;786.7321210827189&lt;/range&gt;
				&lt;gx:altitudeMode&gt;relativeToSeaFloor&lt;/gx:altitudeMode&gt;
			&lt;/LookAt&gt;
			&lt;styleUrl&gt;#m_ylw-pushpin0&lt;/styleUrl&gt;
			&lt;Point&gt;
				&lt;gx:drawOrder&gt;1&lt;/gx:drawOrder&gt;
				&lt;coordinates&gt;-42.67771388888889,-5.221436111111111,0&lt;/coordinates&gt;
			&lt;/Point&gt;
		&lt;/Placemark&gt;
		&lt;Placemark&gt;
			&lt;name&gt;Caminho sem título&lt;/name&gt;
			&lt;styleUrl&gt;#m_ylw-pushpin&lt;/styleUrl&gt;
			&lt;LineString&gt;
				&lt;tessellate&gt;1&lt;/tessellate&gt;
				&lt;coordinates&gt;
					-42.7120807343328,-5.209840073440182,0 -42.71199024115452,-5.209675855416491,0 -42.71189307789825,-5.209390867203052,0 -42.71181356390994,-5.209211738996673,0 -42.71156628658023,-5.20889492463481,0 -42.71132888969791,-5.208728947424039,0 -42.71111992181896,-5.208653386689338,0 -42.71064269145334,-5.209210024135077,0 -42.71023390926089,-5.209740180724338,0 -42.71013790017457,-5.209835781231002,0 -42.70997362636515,-5.209973176212026,0 -42.70979827483295,-5.210067617629376,0 -42.70954278077485,-5.210114782647442,0 -42.70929027995342,-5.210096766065347,0 -42.70898243147138,-5.210008610125751,0 -42.70855966678938,-5.209886500336773,0 -42.70786559047114,-5.209690211376759,0 -42.70672430381639,-5.209342244239411,0 -42.70611052102183,-5.209140198929583,0 -42.70567746288378,-5.209028219370499,0 -42.70545382873493,-5.209029003006601,0 -42.70524566940484,-5.209044480473255,0 -42.70499785419391,-5.209101605422097,0 -42.70475678746621,-5.209203494468585,0 -42.70416775303121,-5.209466258408654,0 -42.70373965756544,-5.20964686024266,0 -42.70321368069735,-5.209849089311367,0 -42.70283194440012,-5.210059442282123,0 -42.70204123851489,-5.21039886201867,0 -42.70106939098456,-5.210847043774857,0 -42.70045873061267,-5.211102377133485,0 -42.69979577330159,-5.211423911199057,0 -42.69862572831512,-5.211958233023591,0 -42.69827221257613,-5.212139991055247,0 -42.69688942010146,-5.212755730769274,0 -42.69640682777672,-5.212955754266541,0 -42.69509011878196,-5.2135304938979,0 -42.69447744693469,-5.213800424044188,0 -42.69332638881521,-5.214341287507291,0 -42.69226166745918,-5.214834331278578,0 -42.69113472051635,-5.215357849720916,0 -42.69024661682734,-5.215774546419683,0 -42.68873954512838,-5.21645452639541,0 -42.68849972908824,-5.216555449506548,0 -42.68714753262626,-5.217167265582371,0 -42.68562005816821,-5.217834816449514,0 -42.68375615047354,-5.218661344541313,0 -42.6823475158104,-5.21929499608153,0 -42.68078218836101,-5.220025138503304,0 -42.67951566913644,-5.220635948231926,0 -42.67820951612585,-5.221156574082227,0 -42.67787971135978,-5.221292596966809,0 -42.6777056412421,-5.221426499993016,0 
				&lt;/coordinates&gt;
			&lt;/LineString&gt;
		&lt;/Placemark&gt;
		&lt;Placemark&gt;
			&lt;name&gt;Marcador de local sem título&lt;/name&gt;
			&lt;LookAt&gt;
				&lt;longitude&gt;-42.73195182556018&lt;/longitude&gt;
				&lt;latitude&gt;-5.244091201589748&lt;/latitude&gt;
				&lt;altitude&gt;0&lt;/altitude&gt;
				&lt;heading&gt;0.001283295935499068&lt;/heading&gt;
				&lt;tilt&gt;4.201452362333538&lt;/tilt&gt;
				&lt;range&gt;18040.60407593563&lt;/range&gt;
				&lt;gx:altitudeMode&gt;relativeToSeaFloor&lt;/gx:altitudeMode&gt;
			&lt;/LookAt&gt;
			&lt;styleUrl&gt;#m_ylw-pushpin0&lt;/styleUrl&gt;
			&lt;Point&gt;
				&lt;gx:drawOrder&gt;1&lt;/gx:drawOrder&gt;
				&lt;coordinates&gt;-42.76326111111111,-4.956611111111111,0&lt;/coordinates&gt;
			&lt;/Point&gt;
		&lt;/Placemark&gt;
		&lt;Placemark&gt;
			&lt;name&gt;Marcador de local sem título&lt;/name&gt;
			&lt;LookAt&gt;
				&lt;longitude&gt;-42.72942085103188&lt;/longitude&gt;
				&lt;latitude&gt;-5.902967373927418&lt;/latitude&gt;
				&lt;altitude&gt;0&lt;/altitude&gt;
				&lt;heading&gt;0.002525995164853343&lt;/heading&gt;
				&lt;tilt&gt;4.426693566821811&lt;/tilt&gt;
				&lt;range&gt;16172.53552960315&lt;/range&gt;
				&lt;gx:altitudeMode&gt;relativeToSeaFloor&lt;/gx:altitudeMode&gt;
			&lt;/LookAt&gt;
			&lt;styleUrl&gt;#m_ylw-pushpin0&lt;/styleUrl&gt;
			&lt;Point&gt;
				&lt;gx:drawOrder&gt;1&lt;/gx:drawOrder&gt;
				&lt;coordinates&gt;-42.74660277777778,-4.967247222222222,0&lt;/coordinates&gt;
			&lt;/Point&gt;
		&lt;/Placemark&gt;
		&lt;Placemark&gt;
			&lt;name&gt;Caminho sem título&lt;/name&gt;
			&lt;styleUrl&gt;#m_ylw-pushpin&lt;/styleUrl&gt;
			&lt;LineString&gt;
				&lt;tessellate&gt;1&lt;/tessellate&gt;
				&lt;coordinates&gt;
					-42.7632590335429,-4.956599364074148,0 -42.7631241689724,-4.956564557993405,0 -42.76283986759529,-4.956246281198823,0 -42.76253437839749,-4.956039750874102,0 -42.76215365816627,-4.95585753198055,0 -42.76192477838833,-4.955706590253947,0 -42.76161911903306,-4.955445696544791,0 -42.76131205308486,-4.955245165339911,0 -42.76101779857812,-4.955168646138919,0 -42.76076187819783,-4.95519186326664,0 -42.7605848043833,-4.955198638095598,0 -42.76036584601163,-4.955276436846867,0 -42.75996389215419,-4.955365030297775,0 -42.75948973922335,-4.95545718243547,0 -42.75933535849713,-4.955471481505778,0 -42.75912190544176,-4.955550054338605,0 -42.75876058613945,-4.955660355317159,0 -42.75821134912933,-4.955787248144737,0 -42.75775597424594,-4.955910085053815,0 -42.75746813477247,-4.956089829932128,0 -42.75711402524549,-4.956310598801239,0 -42.75694189993384,-4.956397726661412,0 -42.7565020012064,-4.956626245488452,0 -42.75636979102277,-4.956709708669803,0 -42.75611455928274,-4.957035078259124,0 -42.75532781717546,-4.958109987246344,0 -42.75518141774774,-4.95829784493255,0 -42.75451123359714,-4.959157666033036,0 -42.75418123459708,-4.959645817964058,0 -42.75408563304619,-4.959786133015597,0 -42.75391230880398,-4.96016818798831,0 -42.75362938609062,-4.960750837076446,0 -42.75346998008624,-4.96121219742269,0 -42.75332049505819,-4.961620966937113,0 -42.75310150328435,-4.961971667709236,0 -42.75268129816054,-4.962220286179613,0 -42.75243208340637,-4.962351090729499,0 -42.75219271684237,-4.962484485592234,0 -42.75195774128836,-4.962749825422335,0 -42.75142193793629,-4.963358363137734,0 -42.75115176967287,-4.963618120129026,0 -42.75072266102011,-4.964092410541096,0 -42.75042913827382,-4.964488456651159,0 -42.75015536747054,-4.964890935100053,0 -42.74999752884245,-4.965133042430263,0 -42.74983232824328,-4.965344635650784,0 -42.74958990158733,-4.965534962690947,0 -42.7490608996259,-4.965741378856776,0 -42.74852140157738,-4.966038777183194,0 -42.74807870685935,-4.96629620052831,0 -42.74775605005221,-4.966452103899392,0 -42.74727255847861,-4.96676213670196,0 -42.74678579217364,-4.967040565875728,0 -42.74660950496855,-4.967195126902315,0 
				&lt;/coordinates&gt;
			&lt;/LineString&gt;
		&lt;/Placemark&gt;
		&lt;Placemark&gt;
			&lt;name&gt;Marcador de local sem título&lt;/name&gt;
			&lt;LookAt&gt;
				&lt;longitude&gt;-42.74699624109791&lt;/longitude&gt;
				&lt;latitude&gt;-4.966785085528334&lt;/latitude&gt;
				&lt;altitude&gt;0&lt;/altitude&gt;
				&lt;heading&gt;0.01298132000667556&lt;/heading&gt;
				&lt;tilt&gt;27.48963546002335&lt;/tilt&gt;
				&lt;range&gt;270.4569010009556&lt;/range&gt;
				&lt;gx:altitudeMode&gt;relativeToSeaFloor&lt;/gx:altitudeMode&gt;
			&lt;/LookAt&gt;
			&lt;styleUrl&gt;#m_ylw-pushpin0&lt;/styleUrl&gt;
			&lt;Point&gt;
				&lt;gx:drawOrder&gt;1&lt;/gx:drawOrder&gt;
				&lt;coordinates&gt;-42.74646908876393,-4.967294291495334,0&lt;/coordinates&gt;
			&lt;/Point&gt;
		&lt;/Placemark&gt;
		&lt;Placemark&gt;
			&lt;name&gt;Marcador de local sem título&lt;/name&gt;
			&lt;LookAt&gt;
				&lt;longitude&gt;-42.74699624109791&lt;/longitude&gt;
				&lt;latitude&gt;-4.966785085528334&lt;/latitude&gt;
				&lt;altitude&gt;0&lt;/altitude&gt;
				&lt;heading&gt;0.01298132000667556&lt;/heading&gt;
				&lt;tilt&gt;27.48963546002335&lt;/tilt&gt;
				&lt;range&gt;270.4569010009556&lt;/range&gt;
				&lt;gx:altitudeMode&gt;relativeToSeaFloor&lt;/gx:altitudeMode&gt;
			&lt;/LookAt&gt;
			&lt;styleUrl&gt;#m_ylw-pushpin0&lt;/styleUrl&gt;
			&lt;Point&gt;
				&lt;gx:drawOrder&gt;1&lt;/gx:drawOrder&gt;
				&lt;coordinates&gt;-42.73179166666667,-4.9585,0&lt;/coordinates&gt;
			&lt;/Point&gt;
		&lt;/Placemark&gt;
		&lt;Placemark&gt;
			&lt;name&gt;Caminho sem título&lt;/name&gt;
			&lt;styleUrl&gt;#m_ylw-pushpin&lt;/styleUrl&gt;
			&lt;LineString&gt;
				&lt;tessellate&gt;1&lt;/tessellate&gt;
				&lt;coordinates&gt;
					-42.74646904826291,-4.967280786281323,0 -42.74610673990401,-4.967443394830428,0 -42.74589124695776,-4.967490553923172,0 -42.74568677364158,-4.967557825892344,0 -42.74537407425812,-4.967536735748785,0 -42.74489868318999,-4.967474152885456,0 -42.74470352456533,-4.967445281649219,0 -42.74431711637791,-4.967329002515775,0 -42.74403238307289,-4.967213315761145,0 -42.74372280190931,-4.967014068613854,0 -42.74346133765657,-4.966808844219909,0 -42.74286052417389,-4.966456115239803,0 -42.74236236281741,-4.966149562472407,0 -42.74189002156948,-4.965852424790466,0 -42.74176571386445,-4.965791196713245,0 -42.74146781318934,-4.965688251037359,0 -42.74098205815549,-4.96551878729143,0 -42.74052894697398,-4.965347524777258,0 -42.7402447460781,-4.965189966659521,0 -42.74008018035454,-4.965035423862617,0 -42.73997288909884,-4.964907046503943,0 -42.73978194236784,-4.964686526265274,0 -42.73956011744471,-4.964448255914412,0 -42.73947323141402,-4.964361495787977,0 -42.7392110621382,-4.96420936118697,0 -42.73870623081871,-4.963892345785717,0 -42.73839247296714,-4.963749492288753,0 -42.73824335026985,-4.963712800962417,0 -42.73799391950409,-4.963708712858847,0 -42.73755692920929,-4.96375032774522,0 -42.73718123069128,-4.963693286826237,0 -42.73670574624664,-4.963529373085283,0 -42.73573077152953,-4.963203577341491,0 -42.73563181609003,-4.963155515198751,0 -42.73541676436443,-4.962970182894106,0 -42.73522053610804,-4.96275705909521,0 -42.73507699789488,-4.962573061442242,0 -42.73479201005811,-4.962118691426117,0 -42.73452850062081,-4.961666609261568,0 -42.73423260061028,-4.961119561086158,0 -42.73389418894362,-4.960463029489688,0 -42.73357755444889,-4.959986791715069,0 -42.73335322189827,-4.959550346254669,0 -42.73317209619246,-4.959211923518311,0 -42.73312986330381,-4.959107381297934,0 -42.73298352585621,-4.958831617587895,0 -42.73281513954262,-4.958720556118706,0 -42.73256429933586,-4.958658580425746,0 -42.73180164292231,-4.958459616616956,0 
				&lt;/coordinates&gt;
			&lt;/LineString&gt;
		&lt;/Placemark&gt;
		&lt;Placemark&gt;
			&lt;name&gt;Marcador de local sem título&lt;/name&gt;
			&lt;LookAt&gt;
				&lt;longitude&gt;-42.7451321134429&lt;/longitude&gt;
				&lt;latitude&gt;-4.960095484221869&lt;/latitude&gt;
				&lt;altitude&gt;0&lt;/altitude&gt;
				&lt;heading&gt;0.01368851589026138&lt;/heading&gt;
				&lt;tilt&gt;22.25789903122028&lt;/tilt&gt;
				&lt;range&gt;3966.66505255919&lt;/range&gt;
				&lt;gx:altitudeMode&gt;relativeToSeaFloor&lt;/gx:altitudeMode&gt;
			&lt;/LookAt&gt;
			&lt;styleUrl&gt;#m_ylw-pushpin0&lt;/styleUrl&gt;
			&lt;Point&gt;
				&lt;gx:drawOrder&gt;1&lt;/gx:drawOrder&gt;
				&lt;coordinates&gt;-42.71698611111111,-5.221119444444445,0&lt;/coordinates&gt;
			&lt;/Point&gt;
		&lt;/Placemark&gt;
		&lt;Placemark&gt;
			&lt;name&gt;Marcador de local sem título&lt;/name&gt;
			&lt;Camera&gt;
				&lt;longitude&gt;-42.71226596886442&lt;/longitude&gt;
				&lt;latitude&gt;-5.228191636714938&lt;/latitude&gt;
				&lt;altitude&gt;3037.874366254067&lt;/altitude&gt;
				&lt;heading&gt;-0.8294197928098598&lt;/heading&gt;
				&lt;tilt&gt;0.9093783141986149&lt;/tilt&gt;
				&lt;roll&gt;-0.8810652214510998&lt;/roll&gt;
				&lt;gx:altitudeMode&gt;relativeToSeaFloor&lt;/gx:altitudeMode&gt;
			&lt;/Camera&gt;
			&lt;styleUrl&gt;#m_ylw-pushpin0&lt;/styleUrl&gt;
			&lt;Point&gt;
				&lt;gx:drawOrder&gt;1&lt;/gx:drawOrder&gt;
				&lt;coordinates&gt;-42.70485,-5.244505555555556,0&lt;/coordinates&gt;
			&lt;/Point&gt;
		&lt;/Placemark&gt;
		&lt;Placemark&gt;
			&lt;name&gt;Caminho sem título&lt;/name&gt;
			&lt;styleUrl&gt;#m_ylw-pushpin&lt;/styleUrl&gt;
			&lt;LineString&gt;
				&lt;tessellate&gt;1&lt;/tessellate&gt;
				&lt;coordinates&gt;
					-42.70485193345934,-5.244493876260949,0 -42.70461380450993,-5.244280469641863,0 -42.70394349236156,-5.244301167087464,0 -42.70373113904444,-5.244174097597182,0 -42.70358223355253,-5.243969165161958,0 -42.70342751296565,-5.243794039295618,0 -42.70313895022458,-5.243454409682274,0 -42.70316782311524,-5.242832722403101,0 -42.70308002443156,-5.242482600517529,0 -42.70267368134423,-5.241815419450667,0 -42.70251960890481,-5.241528854594955,0 -42.70243431315829,-5.241060509582042,0 -42.7024123322368,-5.240762593925365,0 -42.7025804520826,-5.240209853627413,0 -42.70279146643696,-5.239920148611967,0 -42.70311343392678,-5.239755001566452,0 -42.7036044517017,-5.239461282036241,0 -42.70401187451618,-5.23897239927735,0 -42.7044990013886,-5.238318459705911,0 -42.70462882263897,-5.238182379098031,0 -42.70494104006752,-5.238019233880236,0 -42.70516140346736,-5.237865629762219,0 -42.70545465512693,-5.237536084713179,0 -42.70563034223829,-5.237185210676019,0 -42.70589485160466,-5.236631061541046,0 -42.70592972819357,-5.236242046787756,0 -42.70590299876901,-5.235628212223544,0 -42.70586111943059,-5.235415016204089,0 -42.70574258473767,-5.234860216674431,0 -42.7056683434766,-5.234303082107747,0 -42.70569622199881,-5.233994221775835,0 -42.70579692822019,-5.23355792055258,0 -42.70599929487964,-5.233203209842664,0 -42.70635626536167,-5.232697730552534,0 -42.7067873278634,-5.232374934869526,0 -42.70766564558078,-5.231910230153573,0 -42.70802317707947,-5.231661367146399,0 -42.70861943515077,-5.231254121784773,0 -42.7091985339221,-5.230860042210042,0 -42.70958655105161,-5.23046156163415,0 -42.70981826114921,-5.23018776189331,0 -42.71009680083415,-5.229883401151088,0 -42.71037527631661,-5.229688559670256,0 -42.71065298906199,-5.229452500352931,0 -42.71096931137759,-5.229216354054341,0 -42.71132902601432,-5.228895313822503,0 -42.71148267660183,-5.228684740055772,0 -42.71158971882045,-5.228441482663278,0 -42.71177611003914,-5.228082129442617,0 -42.71202013448772,-5.227765066466195,0 -42.71224782321995,-5.227500850878295,0 -42.71248249896905,-5.227044297551574,0 -42.71295254668978,-5.226340532704379,0 -42.71340313769834,-5.225900529279194,0 -42.71392388360491,-5.225475100529204,0 -42.71429147714977,-5.225038679602898,0 -42.71515844268586,-5.224166118268394,0 -42.71542056095354,-5.223915636752833,0 -42.71560771419801,-5.223662756434922,0 -42.71583991789269,-5.223266329573868,0 -42.71604320560232,-5.222708969254035,0 -42.71610508621984,-5.222396944965348,0 -42.71622400137363,-5.221987872561682,0 -42.71632423916803,-5.22179536704293,0 -42.7165072268972,-5.221537775205118,0 -42.71669919119788,-5.221289515947208,0 -42.71680269791718,-5.221201351763076,0 -42.71699089132581,-5.221105343309249,0 
				&lt;/coordinates&gt;
			&lt;/LineString&gt;
		&lt;/Placemark&gt;
		&lt;Placemark&gt;
			&lt;name&gt;Marcador de local sem título&lt;/name&gt;
			&lt;LookAt&gt;
				&lt;longitude&gt;-42.71656735801631&lt;/longitude&gt;
				&lt;latitude&gt;-5.221957909404901&lt;/latitude&gt;
				&lt;altitude&gt;0&lt;/altitude&gt;
				&lt;heading&gt;-0.01223381304750653&lt;/heading&gt;
				&lt;tilt&gt;12.30426805801936&lt;/tilt&gt;
				&lt;range&gt;236.9156689459212&lt;/range&gt;
				&lt;gx:altitudeMode&gt;relativeToSeaFloor&lt;/gx:altitudeMode&gt;
			&lt;/LookAt&gt;
			&lt;styleUrl&gt;#m_ylw-pushpin0&lt;/styleUrl&gt;
			&lt;Point&gt;
				&lt;gx:drawOrder&gt;1&lt;/gx:drawOrder&gt;
				&lt;coordinates&gt;-42.72661111111111,-5.286261111111111,0&lt;/coordinates&gt;
			&lt;/Point&gt;
		&lt;/Placemark&gt;
		&lt;Placemark&gt;
			&lt;name&gt;Marcador de local sem título&lt;/name&gt;
			&lt;LookAt&gt;
				&lt;longitude&gt;-42.72294954203154&lt;/longitude&gt;
				&lt;latitude&gt;-5.290861892633371&lt;/latitude&gt;
				&lt;altitude&gt;0&lt;/altitude&gt;
				&lt;heading&gt;-0.06070232650087151&lt;/heading&gt;
				&lt;tilt&gt;6.907412552311465&lt;/tilt&gt;
				&lt;range&gt;2228.349782286905&lt;/range&gt;
				&lt;gx:altitudeMode&gt;relativeToSeaFloor&lt;/gx:altitudeMode&gt;
			&lt;/LookAt&gt;
			&lt;styleUrl&gt;#m_ylw-pushpin0&lt;/styleUrl&gt;
			&lt;Point&gt;
				&lt;gx:drawOrder&gt;1&lt;/gx:drawOrder&gt;
				&lt;coordinates&gt;-42.71309166666667,-5.304697222222222,0&lt;/coordinates&gt;
			&lt;/Point&gt;
		&lt;/Placemark&gt;
		&lt;Placemark&gt;
			&lt;name&gt;Caminho sem título&lt;/name&gt;
			&lt;styleUrl&gt;#m_ylw-pushpin&lt;/styleUrl&gt;
			&lt;LineString&gt;
				&lt;tessellate&gt;1&lt;/tessellate&gt;
				&lt;coordinates&gt;
					-42.72643584463071,-5.286193201150954,0 -42.72595000905144,-5.286871688975651,0 -42.72462598762505,-5.288639677472011,0 -42.72373553524885,-5.289790290967536,0 -42.72203277922971,-5.292006717617788,0 -42.72081692345279,-5.293653289454744,0 -42.72011302409067,-5.294570855694372,0 -42.71809814721488,-5.297183136762355,0 -42.71612878657809,-5.299755554141394,0 -42.71486521467029,-5.301385379760693,0 -42.71401505431822,-5.302462735056294,0 -42.71336456738781,-5.30338935260886,0 -42.7130381141628,-5.303926294533109,0 -42.71270834275558,-5.304567382069382,0 
				&lt;/coordinates&gt;
			&lt;/LineString&gt;
		&lt;/Placemark&gt;
		&lt;Placemark&gt;
			&lt;name&gt;Marcador de local sem título&lt;/name&gt;
			&lt;Camera&gt;
				&lt;longitude&gt;-42.70754898027385&lt;/longitude&gt;
				&lt;latitude&gt;-5.302065155663903&lt;/latitude&gt;
				&lt;altitude&gt;10010.75037972787&lt;/altitude&gt;
				&lt;heading&gt;-89.99951819898666&lt;/heading&gt;
				&lt;tilt&gt;0.01391146076407376&lt;/tilt&gt;
				&lt;roll&gt;-90.05212556644283&lt;/roll&gt;
				&lt;gx:altitudeMode&gt;relativeToSeaFloor&lt;/gx:altitudeMode&gt;
			&lt;/Camera&gt;
			&lt;styleUrl&gt;#m_ylw-pushpin0&lt;/styleUrl&gt;
			&lt;Point&gt;
				&lt;gx:drawOrder&gt;1&lt;/gx:drawOrder&gt;
				&lt;coordinates&gt;-42.74584444444444,-4.908508333333334,0&lt;/coordinates&gt;
			&lt;/Point&gt;
		&lt;/Placemark&gt;
		&lt;Placemark&gt;
			&lt;name&gt;Marcador de local sem título&lt;/name&gt;
			&lt;LookAt&gt;
				&lt;longitude&gt;-42.74879051306526&lt;/longitude&gt;
				&lt;latitude&gt;-4.914443378377725&lt;/latitude&gt;
				&lt;altitude&gt;0&lt;/altitude&gt;
				&lt;heading&gt;0.008825296888828275&lt;/heading&gt;
				&lt;tilt&gt;16.14604634357784&lt;/tilt&gt;
				&lt;range&gt;2149.714142393147&lt;/range&gt;
				&lt;gx:altitudeMode&gt;relativeToSeaFloor&lt;/gx:altitudeMode&gt;
			&lt;/LookAt&gt;
			&lt;styleUrl&gt;#m_ylw-pushpin0&lt;/styleUrl&gt;
			&lt;Point&gt;
				&lt;gx:drawOrder&gt;1&lt;/gx:drawOrder&gt;
				&lt;coordinates&gt;-42.71120555555556,-4.916397222222223,0&lt;/coordinates&gt;
			&lt;/Point&gt;
		&lt;/Placemark&gt;
		&lt;Placemark&gt;
			&lt;name&gt;Caminho sem título&lt;/name&gt;
			&lt;styleUrl&gt;#m_ylw-pushpin&lt;/styleUrl&gt;
			&lt;LineString&gt;
				&lt;tessellate&gt;1&lt;/tessellate&gt;
				&lt;coordinates&gt;
					-42.74587961796933,-4.908404129839563,0 -42.74483305114053,-4.907861153503434,0 -42.74271845624502,-4.906577950768265,0 -42.74234546661676,-4.90639713479295,0 -42.74193385649079,-4.9065817394008,0 -42.74129598275851,-4.907016291715544,0 -42.74037218131302,-4.907897087668475,0 -42.74000538668897,-4.908391322226407,0 -42.73899760144362,-4.909566263628196,0 -42.73849696317835,-4.910124860119169,0 -42.73822317609791,-4.910357672869017,0 -42.7379006201792,-4.910411049018124,0 -42.73700992767906,-4.91043609907153,0 -42.73545778472948,-4.91040387867545,0 -42.73250032056782,-4.910209427410148,0 -42.73128690128365,-4.910181666520982,0 -42.72808690403262,-4.910003634009583,0 -42.7276084975371,-4.910144255315707,0 -42.72702621840526,-4.910444457412705,0 -42.72648183158288,-4.91088740524565,0 -42.72419992216333,-4.912494945657145,0 -42.72298980813496,-4.913344457580415,0 -42.72088651384505,-4.914188732304669,0 -42.71963141353476,-4.914768281987264,0 -42.71825771630941,-4.915457289847528,0 -42.71735823910476,-4.91576587255972,0 -42.71649344020265,-4.915767219963066,0 -42.71540358760387,-4.915699543586254,0 -42.7140439303372,-4.915675312510798,0 -42.71356734107713,-4.915715449761342,0 -42.71217404297933,-4.916024625134613,0 -42.7114702520932,-4.916126699053578,0 -42.71124591701921,-4.916339953943229,0 
				&lt;/coordinates&gt;
			&lt;/LineString&gt;
		&lt;/Placemark&gt;
		&lt;Placemark&gt;
			&lt;name&gt;Marcador de local sem título&lt;/name&gt;
			&lt;LookAt&gt;
				&lt;longitude&gt;-42.68975338047529&lt;/longitude&gt;
				&lt;latitude&gt;-4.893857019779956&lt;/latitude&gt;
				&lt;altitude&gt;0&lt;/altitude&gt;
				&lt;heading&gt;-0.03301950566162858&lt;/heading&gt;
				&lt;tilt&gt;9.658227080794132&lt;/tilt&gt;
				&lt;range&gt;7699.879465800755&lt;/range&gt;
				&lt;gx:altitudeMode&gt;relativeToSeaFloor&lt;/gx:altitudeMode&gt;
			&lt;/LookAt&gt;
			&lt;styleUrl&gt;#m_ylw-pushpin0&lt;/styleUrl&gt;
			&lt;Point&gt;
				&lt;gx:drawOrder&gt;1&lt;/gx:drawOrder&gt;
				&lt;coordinates&gt;-42.68452499999999,-4.920530555555556,0&lt;/coordinates&gt;
			&lt;/Point&gt;
		&lt;/Placemark&gt;
		&lt;Placemark&gt;
			&lt;name&gt;Caminho sem título&lt;/name&gt;
			&lt;styleUrl&gt;#m_ylw-pushpin&lt;/styleUrl&gt;
			&lt;LineString&gt;
				&lt;tessellate&gt;1&lt;/tessellate&gt;
				&lt;coordinates&gt;
					-42.68452071520661,-4.920470068451283,0 -42.68513581769804,-4.919613990696886,0 -42.68771105453301,-4.918292923274956,0 -42.68941430617765,-4.916975481821653,0 -42.69090129690321,-4.915742745183496,0 -42.69185109088862,-4.915191984792062,0 -42.69205524755229,-4.915160549479586,0 -42.69214206945281,-4.915190240886211,0 -42.69231695058974,-4.915369114205236,0 -42.69281056293742,-4.916025155809392,0 -42.692970754481,-4.916155900423954,0 -42.69333624522154,-4.916275293026709,0 -42.69468825266607,-4.916492739976313,0 -42.69606106741065,-4.91672127404283,0 -42.696874230131,-4.916836687811069,0 -42.69734892303326,-4.916968458060349,0 -42.69835449369582,-4.917083834470263,0 -42.699166432306,-4.91730136645906,0 -42.69944104969009,-4.917461207965451,0 -42.70000741910866,-4.917895390220153,0 -42.70036130097506,-4.918176466879975,0 -42.70065832688412,-4.918422224689412,0 -42.70150998601857,-4.919096894438268,0 -42.70209472026693,-4.919539100799565,0 -42.70243020805113,-4.919736945755892,0 -42.7027851222788,-4.919866701239469,0 -42.70375824907511,-4.920286429149426,0 -42.70441735376286,-4.920490139453009,0 -42.70458368880946,-4.920489224699002,0 -42.70533221195723,-4.919905160844157,0 -42.7065778750482,-4.918598297720576,0 -42.70770523440243,-4.917649829130617,0 -42.70784268032755,-4.917555187185451,0 -42.70798200997708,-4.917475593365014,0 -42.70897966050274,-4.91715096757949,0 -42.71074043450649,-4.916653203779123,0 -42.7109682981656,-4.916564361266727,0 -42.71113669686491,-4.916442672093376,0 -42.71119577162175,-4.916396595360747,0 
				&lt;/coordinates&gt;
			&lt;/LineString&gt;
		&lt;/Placemark&gt;
		&lt;Placemark&gt;
			&lt;name&gt;Marcador de local sem título&lt;/name&gt;
			&lt;LookAt&gt;
				&lt;longitude&gt;-42.70895739032504&lt;/longitude&gt;
				&lt;latitude&gt;-4.944488863215734&lt;/latitude&gt;
				&lt;altitude&gt;0&lt;/altitude&gt;
				&lt;heading&gt;-0.0326227081006161&lt;/heading&gt;
				&lt;tilt&gt;8.746957741234288&lt;/tilt&gt;
				&lt;range&gt;14757.39003988443&lt;/range&gt;
				&lt;gx:altitudeMode&gt;relativeToSeaFloor&lt;/gx:altitudeMode&gt;
			&lt;/LookAt&gt;
			&lt;styleUrl&gt;#m_ylw-pushpin0&lt;/styleUrl&gt;
			&lt;Point&gt;
				&lt;gx:drawOrder&gt;1&lt;/gx:drawOrder&gt;
				&lt;coordinates&gt;-42.67481388888888,-4.944236111111111,0&lt;/coordinates&gt;
			&lt;/Point&gt;
		&lt;/Placemark&gt;
		&lt;Placemark&gt;
			&lt;name&gt;Marcador de local sem título&lt;/name&gt;
			&lt;LookAt&gt;
				&lt;longitude&gt;-42.70895739032504&lt;/longitude&gt;
				&lt;latitude&gt;-4.944488863215734&lt;/latitude&gt;
				&lt;altitude&gt;0&lt;/altitude&gt;
				&lt;heading&gt;-0.0326227081006161&lt;/heading&gt;
				&lt;tilt&gt;8.746957741234288&lt;/tilt&gt;
				&lt;range&gt;14757.39003988443&lt;/range&gt;
				&lt;gx:altitudeMode&gt;relativeToSeaFloor&lt;/gx:altitudeMode&gt;
			&lt;/LookAt&gt;
			&lt;styleUrl&gt;#m_ylw-pushpin0&lt;/styleUrl&gt;
			&lt;Point&gt;
				&lt;gx:drawOrder&gt;1&lt;/gx:drawOrder&gt;
				&lt;coordinates&gt;-42.65181388888889,-4.973311111111111,0&lt;/coordinates&gt;
			&lt;/Point&gt;
		&lt;/Placemark&gt;
		&lt;Placemark&gt;
			&lt;name&gt;Caminho sem título&lt;/name&gt;
			&lt;styleUrl&gt;#m_ylw-pushpin&lt;/styleUrl&gt;
			&lt;LineString&gt;
				&lt;tessellate&gt;1&lt;/tessellate&gt;
				&lt;coordinates&gt;
					-42.65182173101558,-4.97328813414325,0 -42.65198751032295,-4.97287708441811,0 -42.65219944495002,-4.972815353255681,0 -42.65360233068975,-4.972788407408347,0 -42.65591673106907,-4.972688124054852,0 -42.65694753725517,-4.972585348345268,0 -42.65706318692141,-4.971645900415787,0 -42.65732809802563,-4.97138563852358,0 -42.65782994057293,-4.970784889882708,0 -42.65797572305486,-4.970384542263429,0 -42.65792944475962,-4.970006419853427,0 -42.65799949064979,-4.969310769301279,0 -42.65808119247824,-4.968844300098652,0 -42.65830579417157,-4.968181898737586,0 -42.6583882155935,-4.967882144652921,0 -42.65853507802601,-4.967159485804697,0 -42.65889073545856,-4.966382308324411,0 -42.65922193033649,-4.96589168273942,0 -42.66030947914879,-4.964687627185345,0 -42.66076686193556,-4.964139775735759,0 -42.6613455670039,-4.963471019116903,0 -42.66183891326242,-4.962845027629814,0 -42.66244366798443,-4.962159210235957,0 -42.66305982438199,-4.961609843937062,0 -42.66484540927927,-4.960015727117302,0 -42.66494897662207,-4.959784376074788,0 -42.66524730939152,-4.958517287890455,0 -42.66612615431404,-4.954686614004002,0 -42.66626535725187,-4.95422900537651,0 -42.66681273276003,-4.95328727358986,0 -42.66796899371018,-4.951098306479987,0 -42.66805918850942,-4.949949823308519,0 -42.66821620971374,-4.948739482031671,0 -42.66857102389827,-4.948247294355723,0 -42.66937451557845,-4.947748885574738,0 -42.67152563736524,-4.946666861425461,0 -42.6728809655609,-4.945960066401212,0 -42.67429231009698,-4.945169954546489,0 -42.67482553926583,-4.944214205002036,0 
				&lt;/coordinates&gt;
			&lt;/LineString&gt;
		&lt;/Placemark&gt;
		&lt;Placemark&gt;
			&lt;name&gt;Marcador de local sem título&lt;/name&gt;
			&lt;LookAt&gt;
				&lt;longitude&gt;-42.6719861084287&lt;/longitude&gt;
				&lt;latitude&gt;-4.94641251061929&lt;/latitude&gt;
				&lt;altitude&gt;0&lt;/altitude&gt;
				&lt;heading&gt;0.0223007982344379&lt;/heading&gt;
				&lt;tilt&gt;26.31490571691764&lt;/tilt&gt;
				&lt;range&gt;802.4783732938243&lt;/range&gt;
				&lt;gx:altitudeMode&gt;relativeToSeaFloor&lt;/gx:altitudeMode&gt;
			&lt;/LookAt&gt;
			&lt;styleUrl&gt;#m_ylw-pushpin0&lt;/styleUrl&gt;
			&lt;Point&gt;
				&lt;gx:drawOrder&gt;1&lt;/gx:drawOrder&gt;
				&lt;coordinates&gt;-42.71206944444445,-5.20985,0&lt;/coordinates&gt;
			&lt;/Point&gt;
		&lt;/Placemark&gt;
		&lt;Placemark&gt;
			&lt;name&gt;Marcador de local sem título&lt;/name&gt;
			&lt;LookAt&gt;
				&lt;longitude&gt;-42.71663431162253&lt;/longitude&gt;
				&lt;latitude&gt;-5.218505069895046&lt;/latitude&gt;
				&lt;altitude&gt;0&lt;/altitude&gt;
				&lt;heading&gt;0.06787196373929649&lt;/heading&gt;
				&lt;tilt&gt;6.272442096008035&lt;/tilt&gt;
				&lt;range&gt;5854.449007420715&lt;/range&gt;
				&lt;gx:altitudeMode&gt;relativeToSeaFloor&lt;/gx:altitudeMode&gt;
			&lt;/LookAt&gt;
			&lt;styleUrl&gt;#m_ylw-pushpin0&lt;/styleUrl&gt;
			&lt;Point&gt;
				&lt;gx:drawOrder&gt;1&lt;/gx:drawOrder&gt;
				&lt;coordinates&gt;-42.67691388888888,-5.229288888888889,0&lt;/coordinates&gt;
			&lt;/Point&gt;
		&lt;/Placemark&gt;
		&lt;Placemark&gt;
			&lt;name&gt;Caminho sem título&lt;/name&gt;
			&lt;styleUrl&gt;#m_ylw-pushpin&lt;/styleUrl&gt;
			&lt;LineString&gt;
				&lt;tessellate&gt;1&lt;/tessellate&gt;
				&lt;coordinates&gt;
					-42.67687929766065,-5.22892729974888,0 -42.67869822277966,-5.228762574117496,0 -42.67972528989973,-5.228702118129502,0 -42.68304881551747,-5.228416756826042,0 -42.68475752254665,-5.228261245384918,0 -42.68754909563505,-5.2280630426995,0 -42.69030338666903,-5.227926920026588,0 -42.69046464235068,-5.228036260849972,0 -42.69083217624876,-5.230075095668234,0 -42.69096371136443,-5.230195806953535,0 -42.69125562247979,-5.230197053479672,0 -42.69704660256608,-5.22929264768331,0 -42.70008094048066,-5.228783631365707,0 -42.70052018671686,-5.227735624947033,0 -42.70132857737325,-5.225488234722425,0 -42.70172115396901,-5.22431421982931,0 -42.70184918756416,-5.223756332758467,0 -42.70200779519422,-5.223404979363062,0 -42.70313742190086,-5.221691039928016,0 -42.70333826697262,-5.221611875274666,0 -42.70434367198764,-5.221434940164114,0 -42.70715898814966,-5.221042619177316,0 -42.70738385836227,-5.220932145059784,0 -42.70749722374986,-5.220783183256034,0 -42.70754504294679,-5.220275246769424,0 -42.70765205928543,-5.21989526834794,0 -42.70775281018395,-5.219037714697422,0 -42.70787167419281,-5.218943643453078,0 -42.70839666851786,-5.218762535498157,0 -42.70880750821411,-5.218378958082346,0 -42.70965775343885,-5.217130769061019,0 -42.71019074880947,-5.215524312342717,0 -42.710791875528,-5.213520207917909,0 -42.71070582627151,-5.212551097272518,0 -42.71076808923723,-5.211748073448843,0 -42.71077920511924,-5.210176809126518,0 -42.71112654269102,-5.209971242815598,0 -42.7119131609922,-5.209659759861323,0 
				&lt;/coordinates&gt;
			&lt;/LineString&gt;
		&lt;/Placemark&gt;
		&lt;atom:link rel="app" href="https://www.google.com/earth/about/versions/#earth-pro" title="Google Earth Pro 7.3.6.10201"&gt;&lt;/atom:link&gt;
	&lt;/Folder&gt;
&lt;/Document&gt;
&lt;/kml&gt;</t>
  </si>
  <si>
    <t>PAVIMENTAÇÃO EM PARALELEPÍPEDO DE 9.200,00M² DE RUAS NO MUNICÍPIO DE TERESINA – PI.</t>
  </si>
  <si>
    <t>&lt;?xml version="1.0" encoding="UTF-8"?&gt;
&lt;kml xmlns="http://www.opengis.net/kml/2.2" xmlns:gx="http://www.google.com/kml/ext/2.2" xmlns:kml="http://www.opengis.net/kml/2.2" xmlns:atom="http://www.w3.org/2005/Atom"&gt;
&lt;Document id="document"&gt;
	&lt;name&gt;Mapa sem título&lt;/name&gt;
	&lt;gx:CascadingStyle kml:id="__managed_style_0283B42F2B3F13CA8610_highlight"&gt;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kml:id="__managed_style_0283B42F2B3F13CA8610_normal"&gt;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id="__managed_style_0283B42F2B3F13CA8610"&gt;
		&lt;Pair&gt;
			&lt;key&gt;normal&lt;/key&gt;
			&lt;styleUrl&gt;#__managed_style_0283B42F2B3F13CA8610_normal&lt;/styleUrl&gt;
		&lt;/Pair&gt;
		&lt;Pair&gt;
			&lt;key&gt;highlight&lt;/key&gt;
			&lt;styleUrl&gt;#__managed_style_0283B42F2B3F13CA8610_highlight&lt;/styleUrl&gt;
		&lt;/Pair&gt;
	&lt;/StyleMap&gt;
	&lt;Placemark id="0B26496FF43F13CA85E3"&gt;
		&lt;name&gt;Caminho sem título&lt;/name&gt;
		&lt;LookAt&gt;
			&lt;longitude&gt;-42.7067536393288&lt;/longitude&gt;
			&lt;latitude&gt;-4.956791270199507&lt;/latitude&gt;
			&lt;altitude&gt;119.8785390114157&lt;/altitude&gt;
			&lt;heading&gt;0.5371528212840192&lt;/heading&gt;
			&lt;tilt&gt;1.20765714935464&lt;/tilt&gt;
			&lt;gx:fovy&gt;35&lt;/gx:fovy&gt;
			&lt;range&gt;559.3633620080072&lt;/range&gt;
			&lt;altitudeMode&gt;absolute&lt;/altitudeMode&gt;
		&lt;/LookAt&gt;
		&lt;styleUrl&gt;#__managed_style_0283B42F2B3F13CA8610&lt;/styleUrl&gt;
		&lt;LineString&gt;
			&lt;coordinates&gt;
				-42.69492611000582,-4.960775275297227,0 -42.69519893034835,-4.960375037453567,0 -42.69509966845862,-4.959968634714024,0 -42.70809107694265,-4.956586530866488,0 
			&lt;/coordinates&gt;
		&lt;/LineString&gt;
	&lt;/Placemark&gt;
	&lt;Placemark id="0C38B680843F13CAA46B"&gt;
		&lt;name&gt;Marcador de local sem título&lt;/name&gt;
		&lt;LookAt&gt;
			&lt;longitude&gt;-42.69705226505337&lt;/longitude&gt;
			&lt;latitude&gt;-4.960040984190534&lt;/latitude&gt;
			&lt;altitude&gt;101.9660508035339&lt;/altitude&gt;
			&lt;heading&gt;0.5371528015410134&lt;/heading&gt;
			&lt;tilt&gt;1.207670869022831&lt;/tilt&gt;
			&lt;gx:fovy&gt;35&lt;/gx:fovy&gt;
			&lt;range&gt;631.7569711762917&lt;/range&gt;
			&lt;altitudeMode&gt;absolute&lt;/altitudeMode&gt;
		&lt;/LookAt&gt;
		&lt;styleUrl&gt;#__managed_style_0283B42F2B3F13CA8610&lt;/styleUrl&gt;
		&lt;Point&gt;
			&lt;coordinates&gt;-42.6949235322217,-4.9607772397585,102.3295699793731&lt;/coordinates&gt;
		&lt;/Point&gt;
	&lt;/Placemark&gt;
	&lt;Placemark id="061709BBBF3F13CB5F20"&gt;
		&lt;name&gt;Caminho sem título&lt;/name&gt;
		&lt;LookAt&gt;
			&lt;longitude&gt;-42.701392738754&lt;/longitude&gt;
			&lt;latitude&gt;-4.960697670585513&lt;/latitude&gt;
			&lt;altitude&gt;105.4855029263782&lt;/altitude&gt;
			&lt;heading&gt;13.42882452590495&lt;/heading&gt;
			&lt;tilt&gt;4.124596189898784&lt;/tilt&gt;
			&lt;gx:fovy&gt;35&lt;/gx:fovy&gt;
			&lt;range&gt;1453.680675186042&lt;/range&gt;
			&lt;altitudeMode&gt;absolute&lt;/altitudeMode&gt;
		&lt;/LookAt&gt;
		&lt;styleUrl&gt;#__managed_style_0283B42F2B3F13CA8610&lt;/styleUrl&gt;
		&lt;LineString&gt;
			&lt;coordinates&gt;
				-42.70079823442536,-4.963025093205577,0 -42.70038352406406,-4.961934965314991,0 
			&lt;/coordinates&gt;
		&lt;/LineString&gt;
	&lt;/Placemark&gt;
	&lt;Placemark id="037D92D3FC3F13CC4D6F"&gt;
		&lt;name&gt;Caminho sem título&lt;/name&gt;
		&lt;LookAt&gt;
			&lt;longitude&gt;-42.70223389800785&lt;/longitude&gt;
			&lt;latitude&gt;-4.960007032867875&lt;/latitude&gt;
			&lt;altitude&gt;109.1666265188347&lt;/altitude&gt;
			&lt;heading&gt;15.75668922744368&lt;/heading&gt;
			&lt;tilt&gt;0.4876029738660879&lt;/tilt&gt;
			&lt;gx:fovy&gt;35&lt;/gx:fovy&gt;
			&lt;range&gt;2028.919209389132&lt;/range&gt;
			&lt;altitudeMode&gt;absolute&lt;/altitudeMode&gt;
		&lt;/LookAt&gt;
		&lt;styleUrl&gt;#__managed_style_0283B42F2B3F13CA8610&lt;/styleUrl&gt;
		&lt;LineString&gt;
			&lt;coordinates&gt;
				-42.70253266346743,-4.962222847078062,0 -42.70202858142455,-4.961209144236411,0 
			&lt;/coordinates&gt;
		&lt;/LineString&gt;
	&lt;/Placemark&gt;
	&lt;Placemark id="012AEEC08F3F13CC5C48"&gt;
		&lt;name&gt;Marcador de local sem título&lt;/name&gt;
		&lt;LookAt&gt;
			&lt;longitude&gt;-42.70223389800785&lt;/longitude&gt;
			&lt;latitude&gt;-4.960007032867875&lt;/latitude&gt;
			&lt;altitude&gt;109.1666265188347&lt;/altitude&gt;
			&lt;heading&gt;15.75668922744368&lt;/heading&gt;
			&lt;tilt&gt;0.4876029738660879&lt;/tilt&gt;
			&lt;gx:fovy&gt;35&lt;/gx:fovy&gt;
			&lt;range&gt;2028.919209389132&lt;/range&gt;
			&lt;altitudeMode&gt;absolute&lt;/altitudeMode&gt;
		&lt;/LookAt&gt;
		&lt;styleUrl&gt;#__managed_style_0283B42F2B3F13CA8610&lt;/styleUrl&gt;
		&lt;Point&gt;
			&lt;coordinates&gt;-42.70078197774437,-4.963021771684235,111.5489482930054&lt;/coordinates&gt;
		&lt;/Point&gt;
	&lt;/Placemark&gt;
	&lt;Placemark id="047C80AB953F13CC6964"&gt;
		&lt;name&gt;Marcador de local sem título&lt;/name&gt;
		&lt;LookAt&gt;
			&lt;longitude&gt;-42.70223389800785&lt;/longitude&gt;
			&lt;latitude&gt;-4.960007032867875&lt;/latitude&gt;
			&lt;altitude&gt;109.1666265188347&lt;/altitude&gt;
			&lt;heading&gt;15.75668922744368&lt;/heading&gt;
			&lt;tilt&gt;0.4876029738660879&lt;/tilt&gt;
			&lt;gx:fovy&gt;35&lt;/gx:fovy&gt;
			&lt;range&gt;2028.919209389132&lt;/range&gt;
			&lt;altitudeMode&gt;absolute&lt;/altitudeMode&gt;
		&lt;/LookAt&gt;
		&lt;styleUrl&gt;#__managed_style_0283B42F2B3F13CA8610&lt;/styleUrl&gt;
		&lt;Point&gt;
			&lt;coordinates&gt;-42.70254436316043,-4.962219452168799,115.6157890392793&lt;/coordinates&gt;
		&lt;/Point&gt;
	&lt;/Placemark&gt;
&lt;/Document&gt;
&lt;/kml&gt;</t>
  </si>
  <si>
    <t>PAVIMENTAÇÃO EM PARALELEPÍPEDO DE 9.690,00M² DE RUAS NO MUNICÍPIO DE TERESINA- PI</t>
  </si>
  <si>
    <t>&lt;?xml version="1.0" encoding="UTF-8"?&gt;
&lt;kml xmlns="http://www.opengis.net/kml/2.2" xmlns:gx="http://www.google.com/kml/ext/2.2" xmlns:kml="http://www.opengis.net/kml/2.2" xmlns:atom="http://www.w3.org/2005/Atom"&gt;
&lt;Document id="document"&gt;
	&lt;name&gt;Mapa sem título&lt;/name&gt;
	&lt;gx:CascadingStyle kml:id="__managed_style_0819DC1DFD3F13B1595B_highlight"&gt;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kml:id="__managed_style_0819DC1DFD3F13B1595B_normal"&gt;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id="__managed_style_0819DC1DFD3F13B1595B"&gt;
		&lt;Pair&gt;
			&lt;key&gt;normal&lt;/key&gt;
			&lt;styleUrl&gt;#__managed_style_0819DC1DFD3F13B1595B_normal&lt;/styleUrl&gt;
		&lt;/Pair&gt;
		&lt;Pair&gt;
			&lt;key&gt;highlight&lt;/key&gt;
			&lt;styleUrl&gt;#__managed_style_0819DC1DFD3F13B1595B_highlight&lt;/styleUrl&gt;
		&lt;/Pair&gt;
	&lt;/StyleMap&gt;
	&lt;Placemark id="0652212DE43F13B1EA88"&gt;
		&lt;name&gt;Caminho sem título&lt;/name&gt;
		&lt;LookAt&gt;
			&lt;longitude&gt;-42.63915043642419&lt;/longitude&gt;
			&lt;latitude&gt;-5.042640805144607&lt;/latitude&gt;
			&lt;altitude&gt;146.156889958355&lt;/altitude&gt;
			&lt;heading&gt;359.9999999999462&lt;/heading&gt;
			&lt;tilt&gt;0&lt;/tilt&gt;
			&lt;gx:fovy&gt;35&lt;/gx:fovy&gt;
			&lt;range&gt;1852.72476784332&lt;/range&gt;
			&lt;altitudeMode&gt;absolute&lt;/altitudeMode&gt;
		&lt;/LookAt&gt;
		&lt;styleUrl&gt;#__managed_style_0819DC1DFD3F13B1595B&lt;/styleUrl&gt;
		&lt;LineString&gt;
			&lt;coordinates&gt;
				-42.63993381483328,-5.042066692290265,0 -42.64099581868787,-5.045921763890341,0 
			&lt;/coordinates&gt;
		&lt;/LineString&gt;
	&lt;/Placemark&gt;
	&lt;Placemark id="0602814BBB3F13B5293C"&gt;
		&lt;name&gt;Caminho sem título&lt;/name&gt;
		&lt;LookAt&gt;
			&lt;longitude&gt;-42.70241613872733&lt;/longitude&gt;
			&lt;latitude&gt;-5.061179533126707&lt;/latitude&gt;
			&lt;altitude&gt;115.3429673364533&lt;/altitude&gt;
			&lt;heading&gt;0&lt;/heading&gt;
			&lt;tilt&gt;0&lt;/tilt&gt;
			&lt;gx:fovy&gt;35&lt;/gx:fovy&gt;
			&lt;range&gt;841.6694889427163&lt;/range&gt;
			&lt;altitudeMode&gt;absolute&lt;/altitudeMode&gt;
		&lt;/LookAt&gt;
		&lt;styleUrl&gt;#__managed_style_0819DC1DFD3F13B1595B&lt;/styleUrl&gt;
		&lt;LineString&gt;
			&lt;coordinates&gt;
				-42.70223905564695,-5.062840142278809,0 -42.70255309286071,-5.060985008151806,0 
			&lt;/coordinates&gt;
		&lt;/LineString&gt;
	&lt;/Placemark&gt;
	&lt;Placemark id="04034A30483F13B67334"&gt;
		&lt;name&gt;Caminho sem título&lt;/name&gt;
		&lt;LookAt&gt;
			&lt;longitude&gt;-42.63767783867097&lt;/longitude&gt;
			&lt;latitude&gt;-5.043225793009928&lt;/latitude&gt;
			&lt;altitude&gt;153.7831572192255&lt;/altitude&gt;
			&lt;heading&gt;0&lt;/heading&gt;
			&lt;tilt&gt;0&lt;/tilt&gt;
			&lt;gx:fovy&gt;35&lt;/gx:fovy&gt;
			&lt;range&gt;847.1115892723903&lt;/range&gt;
			&lt;altitudeMode&gt;absolute&lt;/altitudeMode&gt;
		&lt;/LookAt&gt;
		&lt;styleUrl&gt;#__managed_style_0819DC1DFD3F13B1595B&lt;/styleUrl&gt;
		&lt;LineString&gt;
			&lt;coordinates&gt;
				-42.64008577957315,-5.042757954181209,0 -42.63667376019836,-5.043435428240572,0 
			&lt;/coordinates&gt;
		&lt;/LineString&gt;
	&lt;/Placemark&gt;
	&lt;Placemark id="0F44B6CC973F13B7CD08"&gt;
		&lt;name&gt;Caminho sem título&lt;/name&gt;
		&lt;LookAt&gt;
			&lt;longitude&gt;-42.63558259477475&lt;/longitude&gt;
			&lt;latitude&gt;-5.040986687453985&lt;/latitude&gt;
			&lt;altitude&gt;165.4129847752808&lt;/altitude&gt;
			&lt;heading&gt;0&lt;/heading&gt;
			&lt;tilt&gt;0&lt;/tilt&gt;
			&lt;gx:fovy&gt;35&lt;/gx:fovy&gt;
			&lt;range&gt;1118.618345561408&lt;/range&gt;
			&lt;altitudeMode&gt;absolute&lt;/altitudeMode&gt;
		&lt;/LookAt&gt;
		&lt;styleUrl&gt;#__managed_style_0819DC1DFD3F13B1595B&lt;/styleUrl&gt;
		&lt;LineString&gt;
			&lt;coordinates&gt;
				-42.63381867248646,-5.043156225162012,0 -42.63502369723592,-5.040319274470408,0 
			&lt;/coordinates&gt;
		&lt;/LineString&gt;
	&lt;/Placemark&gt;
	&lt;Placemark id="03F5ACB4673F13BD2AB0"&gt;
		&lt;name&gt;Caminho sem título&lt;/name&gt;
		&lt;LookAt&gt;
			&lt;longitude&gt;-42.6369183413878&lt;/longitude&gt;
			&lt;latitude&gt;-5.042788768813636&lt;/latitude&gt;
			&lt;altitude&gt;162.4018393433489&lt;/altitude&gt;
			&lt;heading&gt;0&lt;/heading&gt;
			&lt;tilt&gt;0&lt;/tilt&gt;
			&lt;gx:fovy&gt;35&lt;/gx:fovy&gt;
			&lt;range&gt;841.4703470090174&lt;/range&gt;
			&lt;altitudeMode&gt;absolute&lt;/altitudeMode&gt;
		&lt;/LookAt&gt;
		&lt;styleUrl&gt;#__managed_style_0819DC1DFD3F13B1595B&lt;/styleUrl&gt;
		&lt;LineString&gt;
			&lt;coordinates&gt;
				-42.63669947378673,-5.043450434457307,0 -42.6370449104849,-5.04255426060882,0 
			&lt;/coordinates&gt;
		&lt;/LineString&gt;
	&lt;/Placemark&gt;
	&lt;Placemark id="002EFC75A33F13B827A7"&gt;
		&lt;name&gt;Marcador de local sem título&lt;/name&gt;
		&lt;LookAt&gt;
			&lt;longitude&gt;-42.63542797850607&lt;/longitude&gt;
			&lt;latitude&gt;-5.041569267114144&lt;/latitude&gt;
			&lt;altitude&gt;165.4131259925572&lt;/altitude&gt;
			&lt;heading&gt;0&lt;/heading&gt;
			&lt;tilt&gt;0&lt;/tilt&gt;
			&lt;gx:fovy&gt;35&lt;/gx:fovy&gt;
			&lt;range&gt;1118.618252851011&lt;/range&gt;
			&lt;altitudeMode&gt;absolute&lt;/altitudeMode&gt;
		&lt;/LookAt&gt;
		&lt;styleUrl&gt;#__managed_style_0819DC1DFD3F13B1595B&lt;/styleUrl&gt;
		&lt;Point&gt;
			&lt;coordinates&gt;-42.6337921051676,-5.043168628537736,166.5677757954404&lt;/coordinates&gt;
		&lt;/Point&gt;
	&lt;/Placemark&gt;
	&lt;Placemark id="0EC046B5793F13B83D10"&gt;
		&lt;name&gt;Marcador de local sem título&lt;/name&gt;
		&lt;LookAt&gt;
			&lt;longitude&gt;-42.63870266922059&lt;/longitude&gt;
			&lt;latitude&gt;-5.042220327149918&lt;/latitude&gt;
			&lt;altitude&gt;153.9792543782984&lt;/altitude&gt;
			&lt;heading&gt;0&lt;/heading&gt;
			&lt;tilt&gt;0&lt;/tilt&gt;
			&lt;gx:fovy&gt;35&lt;/gx:fovy&gt;
			&lt;range&gt;1130.052040746377&lt;/range&gt;
			&lt;altitudeMode&gt;absolute&lt;/altitudeMode&gt;
		&lt;/LookAt&gt;
		&lt;styleUrl&gt;#__managed_style_0819DC1DFD3F13B1595B&lt;/styleUrl&gt;
		&lt;Point&gt;
			&lt;coordinates&gt;-42.64006790969218,-5.042759500150174,139.4843582979844&lt;/coordinates&gt;
		&lt;/Point&gt;
	&lt;/Placemark&gt;
	&lt;Placemark id="07CE22F4063F13B8509E"&gt;
		&lt;name&gt;Marcador de local sem título&lt;/name&gt;
		&lt;LookAt&gt;
			&lt;longitude&gt;-42.63870266922059&lt;/longitude&gt;
			&lt;latitude&gt;-5.042220327149918&lt;/latitude&gt;
			&lt;altitude&gt;153.9792543782984&lt;/altitude&gt;
			&lt;heading&gt;0&lt;/heading&gt;
			&lt;tilt&gt;0&lt;/tilt&gt;
			&lt;gx:fovy&gt;35&lt;/gx:fovy&gt;
			&lt;range&gt;1130.052040746377&lt;/range&gt;
			&lt;altitudeMode&gt;absolute&lt;/altitudeMode&gt;
		&lt;/LookAt&gt;
		&lt;styleUrl&gt;#__managed_style_0819DC1DFD3F13B1595B&lt;/styleUrl&gt;
		&lt;Point&gt;
			&lt;coordinates&gt;-42.63993443186519,-5.042079804128659,141.7728020267573&lt;/coordinates&gt;
		&lt;/Point&gt;
	&lt;/Placemark&gt;
	&lt;Placemark id="02B8E8D7233F13B8C310"&gt;
		&lt;name&gt;Marcador de local sem título&lt;/name&gt;
		&lt;LookAt&gt;
			&lt;longitude&gt;-42.70384348670235&lt;/longitude&gt;
			&lt;latitude&gt;-5.06162542549907&lt;/latitude&gt;
			&lt;altitude&gt;114.1712975818074&lt;/altitude&gt;
			&lt;heading&gt;0&lt;/heading&gt;
			&lt;tilt&gt;0&lt;/tilt&gt;
			&lt;gx:fovy&gt;35&lt;/gx:fovy&gt;
			&lt;range&gt;1387.253211868956&lt;/range&gt;
			&lt;altitudeMode&gt;absolute&lt;/altitudeMode&gt;
		&lt;/LookAt&gt;
		&lt;styleUrl&gt;#__managed_style_0819DC1DFD3F13B1595B&lt;/styleUrl&gt;
		&lt;Point&gt;
			&lt;coordinates&gt;-42.70222564891995,-5.062834067869442,117.1971073043061&lt;/coordinates&gt;
		&lt;/Point&gt;
	&lt;/Placemark&gt;
	&lt;Placemark id="0C45DF25D33F13BC239C"&gt;
		&lt;name&gt;5°02&amp;apos;36.6&amp;quot;S 42°38&amp;apos;12.2&amp;quot;W&lt;/name&gt;
		&lt;LookAt&gt;
			&lt;longitude&gt;-42.63671499999999&lt;/longitude&gt;
			&lt;latitude&gt;-5.043495999999999&lt;/latitude&gt;
			&lt;altitude&gt;0&lt;/altitude&gt;
			&lt;heading&gt;0&lt;/heading&gt;
			&lt;tilt&gt;0&lt;/tilt&gt;
			&lt;gx:fovy&gt;35&lt;/gx:fovy&gt;
			&lt;range&gt;1051.963154820153&lt;/range&gt;
			&lt;altitudeMode&gt;relativeToGround&lt;/altitudeMode&gt;
		&lt;/LookAt&gt;
		&lt;styleUrl&gt;#__managed_style_0819DC1DFD3F13B1595B&lt;/styleUrl&gt;
		&lt;Point&gt;
			&lt;extrude&gt;1&lt;/extrude&gt;
			&lt;coordinates&gt;-42.636715,-5.043496,0&lt;/coordinates&gt;
		&lt;/Point&gt;
	&lt;/Placemark&gt;
	&lt;Placemark id="0C2A05106B3F13BF6FA8"&gt;
		&lt;name&gt;5°02&amp;apos;35.5&amp;quot;S 42°38&amp;apos;01.6&amp;quot;W&lt;/name&gt;
		&lt;LookAt&gt;
			&lt;longitude&gt;-42.633772&lt;/longitude&gt;
			&lt;latitude&gt;-5.043197&lt;/latitude&gt;
			&lt;altitude&gt;0&lt;/altitude&gt;
			&lt;heading&gt;0&lt;/heading&gt;
			&lt;tilt&gt;0&lt;/tilt&gt;
			&lt;gx:fovy&gt;35&lt;/gx:fovy&gt;
			&lt;range&gt;1051.963697174723&lt;/range&gt;
			&lt;altitudeMode&gt;relativeToGround&lt;/altitudeMode&gt;
		&lt;/LookAt&gt;
		&lt;styleUrl&gt;#__managed_style_0819DC1DFD3F13B1595B&lt;/styleUrl&gt;
		&lt;Point&gt;
			&lt;extrude&gt;1&lt;/extrude&gt;
			&lt;coordinates&gt;-42.633772,-5.043197,0&lt;/coordinates&gt;
		&lt;/Point&gt;
	&lt;/Placemark&gt;
	&lt;Placemark id="0753398A5E3F13C00DA4"&gt;
		&lt;name&gt;Caminho sem título&lt;/name&gt;
		&lt;LookAt&gt;
			&lt;longitude&gt;-42.63462507649165&lt;/longitude&gt;
			&lt;latitude&gt;-5.04343537454347&lt;/latitude&gt;
			&lt;altitude&gt;166.5691518479866&lt;/altitude&gt;
			&lt;heading&gt;0&lt;/heading&gt;
			&lt;tilt&gt;0&lt;/tilt&gt;
			&lt;gx:fovy&gt;35&lt;/gx:fovy&gt;
			&lt;range&gt;393.0304790825903&lt;/range&gt;
			&lt;altitudeMode&gt;absolute&lt;/altitudeMode&gt;
		&lt;/LookAt&gt;
		&lt;styleUrl&gt;#__managed_style_0819DC1DFD3F13B1595B&lt;/styleUrl&gt;
		&lt;LineString&gt;
			&lt;coordinates&gt;
				-42.63381486077188,-5.043191126434285,0 -42.63478602854624,-5.043297444450844,0 
			&lt;/coordinates&gt;
		&lt;/LineString&gt;
	&lt;/Placemark&gt;
&lt;/Document&gt;
&lt;/kml&gt;</t>
  </si>
  <si>
    <t>EXTENSÃO DE REDE ELÉTRICA NA LOCALIDADE TABOCA, NO MUNICÍPIO DE TERESINA - PI CONTRATO 75/2023</t>
  </si>
  <si>
    <t>PAVIMENTAÇÃO EM PARALELEPÍPEDO, COM ÁREA DE 8.571,50 M², NO MUNICÍPIO DE TERESINA - PI</t>
  </si>
  <si>
    <t>PARQUE DAS ESPLANADAS, ANITA FERRAZ, AROEIRAS, POVOADO BOQUINHA</t>
  </si>
  <si>
    <t>SUL, LESTE, NORTE, SUDESTE</t>
  </si>
  <si>
    <t>REVITALIZAÇÃO DO ALMEIDÃO NO MUNICÍPIO DE TERESINA-PI</t>
  </si>
  <si>
    <t>PAVIMENTAÇÃO EM PARALELEPÍPEDO, COM ÁREA DE 2.392,00 M², NO MUNICÍPIO DE TERESINA - PI</t>
  </si>
  <si>
    <t>DUPLICAÇÃO E PAVIMENTAÇÃO ASFÁLTICA NA RODOVIA PI-112, TRECHO: ESTA 00 (ENTR. TER-345-ESTRADA DA CACIMBA VELHA / ESTACA 100 (COLÉGIO SANTO AFONSO), COM 2000,00 M DE EXTENSÃO</t>
  </si>
  <si>
    <t>PAVIMENTAÇÃO EM PARALELEPÍPEDO NO MUNICÍPIO DE TERESINA/PI – ÁREA 5.450,00 M²</t>
  </si>
  <si>
    <t>Tabajaras, Irmã Dulce, Pedra Mole, Povoado Soinho, Morada Nova, Catarina</t>
  </si>
  <si>
    <t>Leste, Sul, Rural</t>
  </si>
  <si>
    <t>REFORMA DE UM ESPAÇO POLIESPORTIVO NO MUNICÍPIO DE TERESINA - PI.</t>
  </si>
  <si>
    <t>LOTEAMENTO NOVA TERESINA</t>
  </si>
  <si>
    <t>EXECUÇÃO DOS SERVIÇOS DE PAVIMENTAÇÃO ASFÁLTICA EM CBUQ EM VIAS PÚBLICAS DO MUNICÍPIO DE TERESINA-PI, COM ÁREA TOTAL DE 128.045,30 M²</t>
  </si>
  <si>
    <t>SATÉLITE</t>
  </si>
  <si>
    <t>EXECUÇÃO DE PAVIMENTO EM PARALELEPÍPEDO EM VIAS URBANAS DO MUNICÍPIO DE TERESINA -PI, TOTALIZANDO 7.874,00 METROS QUADRADOS</t>
  </si>
  <si>
    <t>PAVIMENTAÇÃO DE VIAS PÚBLICAS EM PARALELEPIPEDO NO MUNICÍPIO DE TERESINA – PI – 6.004,60 M²</t>
  </si>
  <si>
    <t>EXECUÇÃO DOS SERVIÇOS DE CONSTRUÇÃO DE SALAS NA INSTITUIÇÃO DE LONGA PERMANÊNCIA VILA DO ANCIÃO COM ÁREA 199,87 M² NO MUNICÍPIO DE TERESINA-PI</t>
  </si>
  <si>
    <t>TERESINA,JOSÉ DE FREITAS,ALTOS,CASTELO DO PIAUÍ,BENEDITINOS,CAJAZEIRAS DO PIAUÍ,NAZARÉ DO PIAUÍ,SÃO JOÃO DA SERRA</t>
  </si>
  <si>
    <t>IMPLANTAÇÃO E RECUPERAÇÃO DE RODOVIAS ESTADUAIS, ATRAVÉS DA PAVIMENTAÇÃO EM REVESTIMENTO PRIMÁRIO COM EXTENSÃO TOTAL DE 152,00 KM, CONTRATO 07/2023 - POTY</t>
  </si>
  <si>
    <t>REGIÃO PERIURBANA</t>
  </si>
  <si>
    <t>RECUPERAÇÃO DE ESTRADA VICINAL 6,1KM POVOADO SOTURNO – MUNICIPIO DE TERESINA-PÍ CONTRATO 92/2024</t>
  </si>
  <si>
    <t>S/N</t>
  </si>
  <si>
    <t>PAVIMENTAÇÃO EM PARALELEPÍPEDO DE VIAS PÚBLICAS MUNICÍPIO DE TERESINA - PI.ÁREA 1320,00 M²</t>
  </si>
  <si>
    <t>EXECUÇÃO DE PAVIMENTAÇÃO DE 2.187,60M² EM VIAS PÚBLICAS NO MUNICÍPIO DE TERESINA</t>
  </si>
  <si>
    <t>POVOADO SOINHO</t>
  </si>
  <si>
    <t>PAVIMENTAÇÃO EM PARALELEPÍPEDO DE 1.635,30 M² DE RUA NO MUNICÍPIO DE TERESINA- PI</t>
  </si>
  <si>
    <t>MELHORAMENTO DA REDE ELÉTRICA NO PARQUE DE EXPOSIÇÃO DIRCEU ARCOVERDE - EXPOAPI E A REFORMA DO ANEXO DA SEDE DA SEAGRO
 , NO MUNICÍPIO DE TERESINA - PI.CONTRATO 88/2024</t>
  </si>
  <si>
    <t>EXECUÇÃO DE PAVIMENTAÇÃO EM PARALELEPÍPEDO DE 3.480,00M² EM VIAS PÚBLICAS NO MUNICÍPIO DE TERESINA</t>
  </si>
  <si>
    <t>POVOADO SERRINHA</t>
  </si>
  <si>
    <t>PAVIMENTAÇÃO DE VIAS PÚBLICAS NO MUNICÍPIO DE TERESINA(PI), 3.162,00 M² EM PARALELEPÍPEDO CONTRATO 124/2024</t>
  </si>
  <si>
    <t>EXECUÇÃO DE PAVIMENTO EM PARALELEPÍPEDO EM VIAS DO MUNICÍPIO DE TERESINA -PI, TOTALIZANDO 5.397,50 METROS QUADRADOS</t>
  </si>
  <si>
    <t>POVOADO SALOBRO, BAIRRO SANTO ANTÔNIO</t>
  </si>
  <si>
    <t>RURAL, SUL</t>
  </si>
  <si>
    <t>EXECUTAR SERVIÇOS DE RECUPERAÇÃO ESTRADA VICINAL DE 11,66KM EM TERESINA-PI CONTRATO 32/2024</t>
  </si>
  <si>
    <t>PAVIMENTAÇÃO EM PARALELEPÍPEDO MUNICÍPIO DE TERESINA-PI. ÁREA: 6.518,60 M²</t>
  </si>
  <si>
    <t>POVOADO GURUPÁ, SANTA TERESA, PARQUE VITÓRIA</t>
  </si>
  <si>
    <t>RURAL LESTE, SUL</t>
  </si>
  <si>
    <t>PAVIMENTAÇÃO EM PARALELEPÍPEDO DE 9.410,00M² EM VIAS PÚBLICAS DO MUNICÍPIO DE TERESINA</t>
  </si>
  <si>
    <t>TERESINA,BENEDITINOS</t>
  </si>
  <si>
    <t>EXECUÇÃO DOS SERVIÇOS DE RECUPERAÇÃO DE ESTRADA VICINAL, TRECHO: MUNICÍPIO DE BENEDITINOS AO MUNICÍPIO DE TERESINA, COM EXTENSÃO DE 46,20 KM.</t>
  </si>
  <si>
    <t>EXECUÇÃO DE MELHORAMENTO DA IMPLANTAÇÃO PAVIMENTAÇÃO ASFALTICA DE 15,24 KM NO TRECHO CONVAP DO MUNICIPIO DE TERESINA-PI</t>
  </si>
  <si>
    <t>EXECUÇÃO DE ESTRADAS VICINAIS EM REVESTIMENTO PRIMÁRIO DE 8,878KM NA ZONA RUAL DO MUNICÍPIO EM TERESINA-PI CONTRATO 38/2024</t>
  </si>
  <si>
    <t>RECUPERAÇÃO DE ESTRADA VICINAL COM EXTENSÃO DE 11,94 KM, NA LOCALIDADE SANTA LUZ, NO MUNICIPIO DE TERESINA-PI. CONT. 35/2023 - NAZA</t>
  </si>
  <si>
    <t>SANTA LUZ</t>
  </si>
  <si>
    <t>PAVIMENTAÇÃO DE VIAS PÚBLICAS EM PARALELEPIPEDO NO MUNICÍPIO DE TERESINA – PI – 3.044,00M²</t>
  </si>
  <si>
    <t>BECO DA RAPOSA</t>
  </si>
  <si>
    <t>REFORMA E AMPLIAÇÃO NO CENTRO CULTURAL DE LINGUAS PADRE RAIMUNDO JOSÉ EM TERESINA</t>
  </si>
  <si>
    <t>AEROPORTO</t>
  </si>
  <si>
    <t>&lt;?xml version="1.0" encoding="UTF-8"?&gt;
&lt;kml xmlns="http://www.opengis.net/kml/2.2" xmlns:gx="http://www.google.com/kml/ext/2.2" xmlns:kml="http://www.opengis.net/kml/2.2" xmlns:atom="http://www.w3.org/2005/Atom"&gt;
&lt;Document&gt;
	&lt;name&gt;CENTRO CULTURAL DE LINGUAS PADRE RAIMUNDO JOSÉ.kml&lt;/name&gt;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&lt;name&gt;CENTRO CULTURAL DE LINGUAS PADRE RAIMUNDO JOSÉ&lt;/name&gt;
		&lt;LookAt&gt;
			&lt;longitude&gt;-42.81385483784607&lt;/longitude&gt;
			&lt;latitude&gt;-5.067312645549242&lt;/latitude&gt;
			&lt;altitude&gt;0&lt;/altitude&gt;
			&lt;heading&gt;-1.278475295602592e-05&lt;/heading&gt;
			&lt;tilt&gt;24.01455228825366&lt;/tilt&gt;
			&lt;range&gt;211.508635304112&lt;/range&gt;
			&lt;gx:altitudeMode&gt;relativeToSeaFloor&lt;/gx:altitudeMode&gt;
		&lt;/LookAt&gt;
		&lt;styleUrl&gt;#m_ylw-pushpin&lt;/styleUrl&gt;
		&lt;Point&gt;
			&lt;gx:drawOrder&gt;1&lt;/gx:drawOrder&gt;
			&lt;coordinates&gt;-42.81391670991736,-5.067454787970116,0&lt;/coordinates&gt;
		&lt;/Point&gt;
		&lt;atom:link rel="app" href="https://www.google.com/earth/about/versions/#earth-pro" title="Google Earth Pro 7.3.7.1155"&gt;&lt;/atom:link&gt;
	&lt;/Placemark&gt;
&lt;/Document&gt;
&lt;/kml&gt;</t>
  </si>
  <si>
    <t>REFORMA DO CETI PROFESSOR FLORESTAN FERNANDES COM SUBESTAÇÃO EM TERESINA</t>
  </si>
  <si>
    <t>&lt;?xml version="1.0" encoding="UTF-8"?&gt;
&lt;kml xmlns="http://www.opengis.net/kml/2.2" xmlns:gx="http://www.google.com/kml/ext/2.2" xmlns:kml="http://www.opengis.net/kml/2.2" xmlns:atom="http://www.w3.org/2005/Atom"&gt;
&lt;Document&gt;
	&lt;name&gt;CETI FLORESTAN FERNANDES.kml&lt;/name&gt;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&lt;name&gt;CETI FLORESTAN FERNANDES&lt;/name&gt;
		&lt;LookAt&gt;
			&lt;longitude&gt;-42.70810412685133&lt;/longitude&gt;
			&lt;latitude&gt;-5.120698469568573&lt;/latitude&gt;
			&lt;altitude&gt;0&lt;/altitude&gt;
			&lt;heading&gt;-2.568577471744628e-05&lt;/heading&gt;
			&lt;tilt&gt;19.26228575049917&lt;/tilt&gt;
			&lt;range&gt;272.7980981765222&lt;/range&gt;
			&lt;gx:altitudeMode&gt;relativeToSeaFloor&lt;/gx:altitudeMode&gt;
		&lt;/LookAt&gt;
		&lt;styleUrl&gt;#m_ylw-pushpin&lt;/styleUrl&gt;
		&lt;Point&gt;
			&lt;gx:drawOrder&gt;1&lt;/gx:drawOrder&gt;
			&lt;coordinates&gt;-42.70825945839041,-5.12075316276836,0&lt;/coordinates&gt;
		&lt;/Point&gt;
		&lt;atom:link rel="app" href="https://www.google.com/earth/about/versions/#earth-pro" title="Google Earth Pro 7.3.7.1155"&gt;&lt;/atom:link&gt;
	&lt;/Placemark&gt;
&lt;/Document&gt;
&lt;/kml&gt;</t>
  </si>
  <si>
    <t>CONSTRUÇÃO DE LABORATÓRIO, QUADRA POLIESPORTIVA E SUBESTAÇÃO NA U. E. VAZ DA COSTA EM TERESINA</t>
  </si>
  <si>
    <t>&lt;?xml version="1.0" encoding="UTF-8"?&gt;
&lt;kml xmlns="http://www.opengis.net/kml/2.2" xmlns:gx="http://www.google.com/kml/ext/2.2" xmlns:kml="http://www.opengis.net/kml/2.2" xmlns:atom="http://www.w3.org/2005/Atom"&gt;
&lt;Document&gt;
	&lt;name&gt;U. E. VAZ DA COSTA.kml&lt;/name&gt;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&lt;name&gt;U. E. VAZ DA COSTA&lt;/name&gt;
		&lt;LookAt&gt;
			&lt;longitude&gt;-42.81102033376703&lt;/longitude&gt;
			&lt;latitude&gt;-5.043547375672793&lt;/latitude&gt;
			&lt;altitude&gt;0&lt;/altitude&gt;
			&lt;heading&gt;1.000244423538225e-05&lt;/heading&gt;
			&lt;tilt&gt;22.81433689175194&lt;/tilt&gt;
			&lt;range&gt;240.5789782336688&lt;/range&gt;
			&lt;gx:altitudeMode&gt;relativeToSeaFloor&lt;/gx:altitudeMode&gt;
		&lt;/LookAt&gt;
		&lt;styleUrl&gt;#m_ylw-pushpin&lt;/styleUrl&gt;
		&lt;Point&gt;
			&lt;gx:drawOrder&gt;1&lt;/gx:drawOrder&gt;
			&lt;coordinates&gt;-42.81098929570296,-5.043810519576619,0&lt;/coordinates&gt;
		&lt;/Point&gt;
		&lt;atom:link rel="app" href="https://www.google.com/earth/about/versions/#earth-pro" title="Google Earth Pro 7.3.7.1155"&gt;&lt;/atom:link&gt;
	&lt;/Placemark&gt;
&lt;/Document&gt;
&lt;/kml&gt;</t>
  </si>
  <si>
    <t>REFORMA DO CETI DUQUE DE CAXIAS EM TERESINA</t>
  </si>
  <si>
    <t>&lt;?xml version="1.0" encoding="UTF-8"?&gt;
&lt;kml xmlns="http://www.opengis.net/kml/2.2" xmlns:gx="http://www.google.com/kml/ext/2.2" xmlns:kml="http://www.opengis.net/kml/2.2" xmlns:atom="http://www.w3.org/2005/Atom"&gt;
&lt;Document id="document"&gt;
	&lt;name&gt;Mapa sem título&lt;/name&gt;
	&lt;gx:CascadingStyle kml:id="__managed_style_143449C2BD3F13B9AFB3"&gt;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&lt;gx:CascadingStyle kml:id="__managed_style_2F216C71493F13B9AFB3"&gt;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&lt;StyleMap id="__managed_style_0FD6B4A0333F13B9AFB3"&gt;
		&lt;Pair&gt;
			&lt;key&gt;normal&lt;/key&gt;
			&lt;styleUrl&gt;#__managed_style_143449C2BD3F13B9AFB3&lt;/styleUrl&gt;
		&lt;/Pair&gt;
		&lt;Pair&gt;
			&lt;key&gt;highlight&lt;/key&gt;
			&lt;styleUrl&gt;#__managed_style_2F216C71493F13B9AFB3&lt;/styleUrl&gt;
		&lt;/Pair&gt;
	&lt;/StyleMap&gt;
	&lt;Placemark id="05E7FF6D1E3F13B9AFAB"&gt;
		&lt;name&gt; CETI Duque de Caxias&lt;/name&gt;
		&lt;LookAt&gt;
			&lt;longitude&gt;-42.78976418232832&lt;/longitude&gt;
			&lt;latitude&gt;-5.102006643175891&lt;/latitude&gt;
			&lt;altitude&gt;85.82893748563313&lt;/altitude&gt;
			&lt;heading&gt;0&lt;/heading&gt;
			&lt;tilt&gt;0&lt;/tilt&gt;
			&lt;gx:fovy&gt;35&lt;/gx:fovy&gt;
			&lt;range&gt;165.5788692630449&lt;/range&gt;
			&lt;altitudeMode&gt;absolute&lt;/altitudeMode&gt;
		&lt;/LookAt&gt;
		&lt;styleUrl&gt;#__managed_style_0FD6B4A0333F13B9AFB3&lt;/styleUrl&gt;
		&lt;Point&gt;
			&lt;coordinates&gt;-42.78999816378857,-5.102069966025371,85.82890634214864&lt;/coordinates&gt;
		&lt;/Point&gt;
	&lt;/Placemark&gt;
&lt;/Document&gt;
&lt;/kml&gt;</t>
  </si>
  <si>
    <t>REFORMA E AMPLIAÇÃO DA U E PROFª MARIA DE LOURDES REBELO EM TERESINA</t>
  </si>
  <si>
    <t>FÁTIMA</t>
  </si>
  <si>
    <t>&lt;?xml version="1.0" encoding="UTF-8"?&gt;
&lt;kml xmlns="http://www.opengis.net/kml/2.2" xmlns:gx="http://www.google.com/kml/ext/2.2" xmlns:kml="http://www.opengis.net/kml/2.2" xmlns:atom="http://www.w3.org/2005/Atom"&gt;
&lt;Document&gt;
	&lt;name&gt;U E PROFª MARIA DE LOURDES REBELO.kml&lt;/name&gt;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&lt;name&gt;U E PROFª MARIA DE LOURDES REBELO&lt;/name&gt;
		&lt;LookAt&gt;
			&lt;longitude&gt;-42.79308011401388&lt;/longitude&gt;
			&lt;latitude&gt;-5.070044506741441&lt;/latitude&gt;
			&lt;altitude&gt;0&lt;/altitude&gt;
			&lt;heading&gt;-0.003766018428721981&lt;/heading&gt;
			&lt;tilt&gt;22.78730310162793&lt;/tilt&gt;
			&lt;range&gt;220.0045528516852&lt;/range&gt;
			&lt;gx:altitudeMode&gt;relativeToSeaFloor&lt;/gx:altitudeMode&gt;
		&lt;/LookAt&gt;
		&lt;styleUrl&gt;#m_ylw-pushpin&lt;/styleUrl&gt;
		&lt;Point&gt;
			&lt;gx:drawOrder&gt;1&lt;/gx:drawOrder&gt;
			&lt;coordinates&gt;-42.79316393063763,-5.070285675956441,0&lt;/coordinates&gt;
		&lt;/Point&gt;
		&lt;atom:link rel="app" href="https://www.google.com/earth/about/versions/#earth-pro" title="Google Earth Pro 7.3.7.1155"&gt;&lt;/atom:link&gt;
	&lt;/Placemark&gt;
&lt;/Document&gt;
&lt;/kml&gt;</t>
  </si>
  <si>
    <t>REFORMA E AMPLIAÇÃO DA U E PROFESSORA HELENA CARVALHO EM TERESINA</t>
  </si>
  <si>
    <t>ITAPERU</t>
  </si>
  <si>
    <t>&lt;?xml version="1.0" encoding="UTF-8"?&gt;
&lt;kml xmlns="http://www.opengis.net/kml/2.2" xmlns:gx="http://www.google.com/kml/ext/2.2" xmlns:kml="http://www.opengis.net/kml/2.2" xmlns:atom="http://www.w3.org/2005/Atom"&gt;
&lt;Document&gt;
	&lt;name&gt;U E PROFESSORA HELENA CARVALHO.kml&lt;/name&gt;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&lt;name&gt;U E PROFESSORA HELENA CARVALHO&lt;/name&gt;
		&lt;LookAt&gt;
			&lt;longitude&gt;-42.8215914493951&lt;/longitude&gt;
			&lt;latitude&gt;-5.045078463373672&lt;/latitude&gt;
			&lt;altitude&gt;0&lt;/altitude&gt;
			&lt;heading&gt;-1.472243327290987e-05&lt;/heading&gt;
			&lt;tilt&gt;19.90141302674634&lt;/tilt&gt;
			&lt;range&gt;297.6681213659849&lt;/range&gt;
			&lt;gx:altitudeMode&gt;relativeToSeaFloor&lt;/gx:altitudeMode&gt;
		&lt;/LookAt&gt;
		&lt;styleUrl&gt;#m_ylw-pushpin&lt;/styleUrl&gt;
		&lt;Point&gt;
			&lt;gx:drawOrder&gt;1&lt;/gx:drawOrder&gt;
			&lt;coordinates&gt;-42.82155869527516,-5.04538053929529,0&lt;/coordinates&gt;
		&lt;/Point&gt;
		&lt;atom:link rel="app" href="https://www.google.com/earth/about/versions/#earth-pro" title="Google Earth Pro 7.3.7.1155"&gt;&lt;/atom:link&gt;
	&lt;/Placemark&gt;
&lt;/Document&gt;
&lt;/kml&gt;</t>
  </si>
  <si>
    <t>REFORMA DA U E DEP ÁTILA LIRA EM TERESINA</t>
  </si>
  <si>
    <t>&lt;?xml version="1.0" encoding="UTF-8"?&gt;
&lt;kml xmlns="http://www.opengis.net/kml/2.2" xmlns:gx="http://www.google.com/kml/ext/2.2" xmlns:kml="http://www.opengis.net/kml/2.2" xmlns:atom="http://www.w3.org/2005/Atom"&gt;
&lt;Document id="1rsITNc960ydwqzdwJd8ivPjmujIT5O8m"&gt;
	&lt;name&gt;Mapa sem título&lt;/name&gt;
	&lt;gx:CascadingStyle kml:id="__managed_style_0473B556483F14139A01_highlight"&gt;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kml:id="__managed_style_0473B556483F14139A01_normal"&gt;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id="__managed_style_0473B556483F14139A01"&gt;
		&lt;Pair&gt;
			&lt;key&gt;normal&lt;/key&gt;
			&lt;styleUrl&gt;#__managed_style_0473B556483F14139A01_normal&lt;/styleUrl&gt;
		&lt;/Pair&gt;
		&lt;Pair&gt;
			&lt;key&gt;highlight&lt;/key&gt;
			&lt;styleUrl&gt;#__managed_style_0473B556483F14139A01_highlight&lt;/styleUrl&gt;
		&lt;/Pair&gt;
	&lt;/StyleMap&gt;
	&lt;Placemark id="0B9FFE3AA13F141FECD3"&gt;
		&lt;gx:mid&gt;/g/11b6394n1x&lt;/gx:mid&gt;
		&lt;gx:fid&gt;0x78e30ec822e36b9:0xd9c65b9a3c43cf24&lt;/gx:fid&gt;
		&lt;LookAt&gt;
			&lt;longitude&gt;-42.76094299999999&lt;/longitude&gt;
			&lt;latitude&gt;-5.1101539&lt;/latitude&gt;
			&lt;altitude&gt;0&lt;/altitude&gt;
			&lt;heading&gt;0&lt;/heading&gt;
			&lt;tilt&gt;0&lt;/tilt&gt;
			&lt;gx:fovy&gt;35&lt;/gx:fovy&gt;
			&lt;range&gt;1051.841445225823&lt;/range&gt;
			&lt;altitudeMode&gt;relativeToGround&lt;/altitudeMode&gt;
		&lt;/LookAt&gt;
		&lt;styleUrl&gt;#__managed_style_0473B556483F14139A01&lt;/styleUrl&gt;
		&lt;Point&gt;
			&lt;altitudeMode&gt;relativeToGround&lt;/altitudeMode&gt;
			&lt;coordinates&gt;-42.760943,-5.110153899999999,0&lt;/coordinates&gt;
		&lt;/Point&gt;
	&lt;/Placemark&gt;
&lt;/Document&gt;
&lt;/kml&gt;</t>
  </si>
  <si>
    <t>REFORMA DO CETI PROFª JÚLIA NUNES ALVES EM TERESINA</t>
  </si>
  <si>
    <t>&lt;?xml version="1.0" encoding="UTF-8"?&gt;
&lt;kml xmlns="http://www.opengis.net/kml/2.2" xmlns:gx="http://www.google.com/kml/ext/2.2" xmlns:kml="http://www.opengis.net/kml/2.2" xmlns:atom="http://www.w3.org/2005/Atom"&gt;
&lt;Document&gt;
	&lt;name&gt;CETI PROFª JÚLIA NUNES ALVES.kml&lt;/name&gt;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&lt;name&gt;CETI PROFª JÚLIA NUNES ALVES&lt;/name&gt;
		&lt;LookAt&gt;
			&lt;longitude&gt;-42.75786781542249&lt;/longitude&gt;
			&lt;latitude&gt;-5.099190839358411&lt;/latitude&gt;
			&lt;altitude&gt;0&lt;/altitude&gt;
			&lt;heading&gt;-5.708223984724046&lt;/heading&gt;
			&lt;tilt&gt;7.230708401068561&lt;/tilt&gt;
			&lt;range&gt;212.0462073235254&lt;/range&gt;
			&lt;gx:altitudeMode&gt;relativeToSeaFloor&lt;/gx:altitudeMode&gt;
		&lt;/LookAt&gt;
		&lt;styleUrl&gt;#m_ylw-pushpin&lt;/styleUrl&gt;
		&lt;Point&gt;
			&lt;gx:drawOrder&gt;1&lt;/gx:drawOrder&gt;
			&lt;coordinates&gt;-42.75790340575577,-5.099296925069118,0&lt;/coordinates&gt;
		&lt;/Point&gt;
		&lt;atom:link rel="app" href="https://www.google.com/earth/about/versions/#earth-pro" title="Google Earth Pro 7.3.7.1155"&gt;&lt;/atom:link&gt;
	&lt;/Placemark&gt;
&lt;/Document&gt;
&lt;/kml&gt;</t>
  </si>
  <si>
    <t>REFORMA E AMPLIAÇÃO COM SUBESTAÇÃO DA U E ANICOTA BURLAMAQUI EM TERESINA PI</t>
  </si>
  <si>
    <t>MACAÚBA</t>
  </si>
  <si>
    <t>&lt;?xml version="1.0" encoding="UTF-8"?&gt;
&lt;kml xmlns="http://www.opengis.net/kml/2.2" xmlns:gx="http://www.google.com/kml/ext/2.2" xmlns:kml="http://www.opengis.net/kml/2.2" xmlns:atom="http://www.w3.org/2005/Atom"&gt;
&lt;Document&gt;
	&lt;name&gt;U E ANICOTA BURLAMAQUI.kml&lt;/name&gt;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&lt;name&gt;U E ANICOTA BURLAMAQUI&lt;/name&gt;
		&lt;LookAt&gt;
			&lt;longitude&gt;-42.79924938582005&lt;/longitude&gt;
			&lt;latitude&gt;-5.110190134325196&lt;/latitude&gt;
			&lt;altitude&gt;0&lt;/altitude&gt;
			&lt;heading&gt;3.934741307794063e-06&lt;/heading&gt;
			&lt;tilt&gt;25.15319078735872&lt;/tilt&gt;
			&lt;range&gt;230.1137716770479&lt;/range&gt;
			&lt;gx:altitudeMode&gt;relativeToSeaFloor&lt;/gx:altitudeMode&gt;
		&lt;/LookAt&gt;
		&lt;styleUrl&gt;#m_ylw-pushpin&lt;/styleUrl&gt;
		&lt;Point&gt;
			&lt;gx:drawOrder&gt;1&lt;/gx:drawOrder&gt;
			&lt;coordinates&gt;-42.79925791848871,-5.110331758270047,0&lt;/coordinates&gt;
		&lt;/Point&gt;
		&lt;atom:link rel="app" href="https://www.google.com/earth/about/versions/#earth-pro" title="Google Earth Pro 7.3.7.1155"&gt;&lt;/atom:link&gt;
	&lt;/Placemark&gt;
&lt;/Document&gt;
&lt;/kml&gt;</t>
  </si>
  <si>
    <t>REFORMA DA U. E. PEDRO CONDE EM TERESINA CT 138/2022</t>
  </si>
  <si>
    <t>&lt;?xml version="1.0" encoding="UTF-8"?&gt;
&lt;kml xmlns="http://www.opengis.net/kml/2.2" xmlns:gx="http://www.google.com/kml/ext/2.2" xmlns:kml="http://www.opengis.net/kml/2.2" xmlns:atom="http://www.w3.org/2005/Atom"&gt;
&lt;Document&gt;
	&lt;name&gt;U E PEDRO CONDE.kml&lt;/name&gt;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&lt;name&gt;U E PEDRO CONDE&lt;/name&gt;
		&lt;LookAt&gt;
			&lt;longitude&gt;-42.81812060046288&lt;/longitude&gt;
			&lt;latitude&gt;-5.03083426254662&lt;/latitude&gt;
			&lt;altitude&gt;0&lt;/altitude&gt;
			&lt;heading&gt;3.481207184216963e-05&lt;/heading&gt;
			&lt;tilt&gt;30.00065478887402&lt;/tilt&gt;
			&lt;range&gt;145.3992946606045&lt;/range&gt;
			&lt;gx:altitudeMode&gt;relativeToSeaFloor&lt;/gx:altitudeMode&gt;
		&lt;/LookAt&gt;
		&lt;styleUrl&gt;#m_ylw-pushpin&lt;/styleUrl&gt;
		&lt;Point&gt;
			&lt;gx:drawOrder&gt;1&lt;/gx:drawOrder&gt;
			&lt;coordinates&gt;-42.81799710463564,-5.031026596931858,0&lt;/coordinates&gt;
		&lt;/Point&gt;
		&lt;atom:link rel="app" href="https://www.google.com/earth/about/versions/#earth-pro" title="Google Earth Pro 7.3.6.10201"&gt;&lt;/atom:link&gt;
	&lt;/Placemark&gt;
&lt;/Document&gt;
&lt;/kml&gt;</t>
  </si>
  <si>
    <t>REFORMA E AMPLIAÇÃO DA U. E. DESEMBARGADOR HELI SOBRAL EM TERESINA CT 263/2022</t>
  </si>
  <si>
    <t>&lt;?xml version="1.0" encoding="UTF-8"?&gt;
&lt;kml xmlns="http://www.opengis.net/kml/2.2" xmlns:gx="http://www.google.com/kml/ext/2.2" xmlns:kml="http://www.opengis.net/kml/2.2" xmlns:atom="http://www.w3.org/2005/Atom"&gt;
&lt;Document&gt;
	&lt;name&gt;CETI DESMBARGADOR HELI SOBRAL.kml&lt;/name&gt;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&lt;name&gt;CETI DESMBARGADOR HELI SOBRAL&lt;/name&gt;
		&lt;LookAt&gt;
			&lt;longitude&gt;-42.81792189885933&lt;/longitude&gt;
			&lt;latitude&gt;-5.030512498158023&lt;/latitude&gt;
			&lt;altitude&gt;0&lt;/altitude&gt;
			&lt;heading&gt;1.036252545074277e-09&lt;/heading&gt;
			&lt;tilt&gt;45.00000000184199&lt;/tilt&gt;
			&lt;range&gt;1047.214800742327&lt;/range&gt;
			&lt;gx:altitudeMode&gt;relativeToSeaFloor&lt;/gx:altitudeMode&gt;
		&lt;/LookAt&gt;
		&lt;styleUrl&gt;#m_ylw-pushpin&lt;/styleUrl&gt;
		&lt;Point&gt;
			&lt;gx:drawOrder&gt;1&lt;/gx:drawOrder&gt;
			&lt;coordinates&gt;-42.81792189885933,-5.030512498158023,0&lt;/coordinates&gt;
		&lt;/Point&gt;
		&lt;atom:link rel="app" href="https://www.google.com/earth/about/versions/#earth-pro" title="Google Earth Pro 7.3.6.10201"&gt;&lt;/atom:link&gt;
	&lt;/Placemark&gt;
&lt;/Document&gt;
&lt;/kml&gt;</t>
  </si>
  <si>
    <t>REFORMA DO CETI PROFESSOR FELISMINO FREITAS EM TERESINA</t>
  </si>
  <si>
    <t>&lt;?xml version="1.0" encoding="UTF-8"?&gt;
&lt;kml xmlns="http://www.opengis.net/kml/2.2" xmlns:gx="http://www.google.com/kml/ext/2.2" xmlns:kml="http://www.opengis.net/kml/2.2" xmlns:atom="http://www.w3.org/2005/Atom"&gt;
&lt;Document&gt;
	&lt;name&gt;CETI PROFESSOR FELISMINO FREITAS.kml&lt;/name&gt;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&lt;name&gt;CETI PROFESSOR FELISMINO FREITAS&lt;/name&gt;
		&lt;LookAt&gt;
			&lt;longitude&gt;-42.80885697167224&lt;/longitude&gt;
			&lt;latitude&gt;-5.02820649804768&lt;/latitude&gt;
			&lt;altitude&gt;0&lt;/altitude&gt;
			&lt;heading&gt;1.077025536404485e-05&lt;/heading&gt;
			&lt;tilt&gt;23.59471730853878&lt;/tilt&gt;
			&lt;range&gt;228.8194034984061&lt;/range&gt;
			&lt;gx:altitudeMode&gt;relativeToSeaFloor&lt;/gx:altitudeMode&gt;
		&lt;/LookAt&gt;
		&lt;styleUrl&gt;#m_ylw-pushpin&lt;/styleUrl&gt;
		&lt;Point&gt;
			&lt;gx:drawOrder&gt;1&lt;/gx:drawOrder&gt;
			&lt;coordinates&gt;-42.80895828364489,-5.028181186641941,0&lt;/coordinates&gt;
		&lt;/Point&gt;
		&lt;atom:link rel="app" href="https://www.google.com/earth/about/versions/#earth-pro" title="Google Earth Pro 7.3.7.1155"&gt;&lt;/atom:link&gt;
	&lt;/Placemark&gt;
&lt;/Document&gt;
&lt;/kml&gt;</t>
  </si>
  <si>
    <t>REFORMA NA U. E. DEP ALBERTO MONTEIRO EM TERESINA</t>
  </si>
  <si>
    <t>&lt;?xml version="1.0" encoding="UTF-8"?&gt;
&lt;kml xmlns="http://www.opengis.net/kml/2.2" xmlns:gx="http://www.google.com/kml/ext/2.2" xmlns:kml="http://www.opengis.net/kml/2.2" xmlns:atom="http://www.w3.org/2005/Atom"&gt;
&lt;Document&gt;
	&lt;name&gt;U. E. DEP ALBERTO MONTEIRO.kml&lt;/name&gt;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&lt;name&gt;U. E. DEP ALBERTO MONTEIRO&lt;/name&gt;
		&lt;LookAt&gt;
			&lt;longitude&gt;-42.80705319761835&lt;/longitude&gt;
			&lt;latitude&gt;-5.028260897113036&lt;/latitude&gt;
			&lt;altitude&gt;0&lt;/altitude&gt;
			&lt;heading&gt;-6.471446130892073e-06&lt;/heading&gt;
			&lt;tilt&gt;19.55695084848037&lt;/tilt&gt;
			&lt;range&gt;372.9607917290888&lt;/range&gt;
			&lt;gx:altitudeMode&gt;relativeToSeaFloor&lt;/gx:altitudeMode&gt;
		&lt;/LookAt&gt;
		&lt;styleUrl&gt;#m_ylw-pushpin&lt;/styleUrl&gt;
		&lt;Point&gt;
			&lt;gx:drawOrder&gt;1&lt;/gx:drawOrder&gt;
			&lt;coordinates&gt;-42.80701372822061,-5.028418455183997,0&lt;/coordinates&gt;
		&lt;/Point&gt;
		&lt;atom:link rel="app" href="https://www.google.com/earth/about/versions/#earth-pro" title="Google Earth Pro 7.3.7.1155"&gt;&lt;/atom:link&gt;
	&lt;/Placemark&gt;
&lt;/Document&gt;
&lt;/kml&gt;</t>
  </si>
  <si>
    <t>REFORMA E AMPLIAÇÃO NA U. E. PROFESSOR JOÃO SOARES DA SILVA EM TERESINA PI</t>
  </si>
  <si>
    <t>&lt;?xml version="1.0" encoding="UTF-8"?&gt;
&lt;kml xmlns="http://www.opengis.net/kml/2.2" xmlns:gx="http://www.google.com/kml/ext/2.2" xmlns:kml="http://www.opengis.net/kml/2.2" xmlns:atom="http://www.w3.org/2005/Atom"&gt;
&lt;Document&gt;
	&lt;name&gt;U. E. PROFESSOR JOÃO SOARES DA SILVA.kml&lt;/name&gt;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&lt;name&gt;U. E. PROFESSOR JOÃO SOARES DA SILVA&lt;/name&gt;
		&lt;LookAt&gt;
			&lt;longitude&gt;-42.80024446288967&lt;/longitude&gt;
			&lt;latitude&gt;-5.103547435098648&lt;/latitude&gt;
			&lt;altitude&gt;0&lt;/altitude&gt;
			&lt;heading&gt;5.941495909375257e-07&lt;/heading&gt;
			&lt;tilt&gt;25.37642865615152&lt;/tilt&gt;
			&lt;range&gt;247.3898438973248&lt;/range&gt;
			&lt;gx:altitudeMode&gt;relativeToSeaFloor&lt;/gx:altitudeMode&gt;
		&lt;/LookAt&gt;
		&lt;styleUrl&gt;#m_ylw-pushpin&lt;/styleUrl&gt;
		&lt;Point&gt;
			&lt;gx:drawOrder&gt;1&lt;/gx:drawOrder&gt;
			&lt;coordinates&gt;-42.80024362932796,-5.103693631134235,0&lt;/coordinates&gt;
		&lt;/Point&gt;
		&lt;atom:link rel="app" href="https://www.google.com/earth/about/versions/#earth-pro" title="Google Earth Pro 7.3.7.1155"&gt;&lt;/atom:link&gt;
	&lt;/Placemark&gt;
&lt;/Document&gt;
&lt;/kml&gt;</t>
  </si>
  <si>
    <t>REFORMA E AMPLIAÇÃO DO CETI GOVERNADOR DIRCEU MENDES ARCOVERDE EM TERESINA PI</t>
  </si>
  <si>
    <t>MORADA DO SOL</t>
  </si>
  <si>
    <t>&lt;?xml version="1.0" encoding="UTF-8"?&gt;
&lt;kml xmlns="http://www.opengis.net/kml/2.2" xmlns:gx="http://www.google.com/kml/ext/2.2" xmlns:kml="http://www.opengis.net/kml/2.2" xmlns:atom="http://www.w3.org/2005/Atom"&gt;
&lt;Document id="document"&gt;
	&lt;name&gt;Mapa sem título&lt;/name&gt;
	&lt;gx:CascadingStyle kml:id="__managed_style_0D6D99A2273F139FAB54_highlight"&gt;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kml:id="__managed_style_0D6D99A2273F139FAB54_normal"&gt;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id="__managed_style_0D6D99A2273F139FAB54"&gt;
		&lt;Pair&gt;
			&lt;key&gt;normal&lt;/key&gt;
			&lt;styleUrl&gt;#__managed_style_0D6D99A2273F139FAB54_normal&lt;/styleUrl&gt;
		&lt;/Pair&gt;
		&lt;Pair&gt;
			&lt;key&gt;highlight&lt;/key&gt;
			&lt;styleUrl&gt;#__managed_style_0D6D99A2273F139FAB54_highlight&lt;/styleUrl&gt;
		&lt;/Pair&gt;
	&lt;/StyleMap&gt;
	&lt;Placemark id="062328C5073F13A2D7E1"&gt;
		&lt;gx:mid&gt;/g/1tczkpc8&lt;/gx:mid&gt;
		&lt;gx:fid&gt;0x78e3a47bfffffff:0x533f6a8f6f9a8f11&lt;/gx:fid&gt;
		&lt;LookAt&gt;
			&lt;longitude&gt;-42.77009590000001&lt;/longitude&gt;
			&lt;latitude&gt;-5.071582&lt;/latitude&gt;
			&lt;altitude&gt;0&lt;/altitude&gt;
			&lt;heading&gt;0&lt;/heading&gt;
			&lt;tilt&gt;0&lt;/tilt&gt;
			&lt;gx:fovy&gt;35&lt;/gx:fovy&gt;
			&lt;range&gt;1051.912067015366&lt;/range&gt;
			&lt;altitudeMode&gt;relativeToGround&lt;/altitudeMode&gt;
		&lt;/LookAt&gt;
		&lt;styleUrl&gt;#__managed_style_0D6D99A2273F139FAB54&lt;/styleUrl&gt;
		&lt;Point&gt;
			&lt;altitudeMode&gt;relativeToGround&lt;/altitudeMode&gt;
			&lt;coordinates&gt;-42.7700956,-5.0715731,0&lt;/coordinates&gt;
		&lt;/Point&gt;
	&lt;/Placemark&gt;
&lt;/Document&gt;
&lt;/kml&gt;</t>
  </si>
  <si>
    <t>EXECUÇÃO DE OBRAS E SERVIÇOS DE PAVIMENTAÇÃO EM PARALELEPÍPEDO NO MUNICÍPIO DE TERESINA-PI (ÁGUA MINERAL E MORROS).</t>
  </si>
  <si>
    <t>&lt;?xml version="1.0" encoding="UTF-8"?&gt;
&lt;kml xmlns="http://www.opengis.net/kml/2.2" xmlns:gx="http://www.google.com/kml/ext/2.2" xmlns:kml="http://www.opengis.net/kml/2.2" xmlns:atom="http://www.w3.org/2005/Atom"&gt;
&lt;Document&gt;
	&lt;name&gt;rrrrrrrrrrrrrrrrrr.kml&lt;/name&gt;
	&lt;StyleMap id="msn_ylw-pushpin"&gt;
		&lt;Pair&gt;
			&lt;key&gt;normal&lt;/key&gt;
			&lt;styleUrl&gt;#sn_ylw-pushpin&lt;/styleUrl&gt;
		&lt;/Pair&gt;
		&lt;Pair&gt;
			&lt;key&gt;highlight&lt;/key&gt;
			&lt;styleUrl&gt;#sh_ylw-pushpin&lt;/styleUrl&gt;
		&lt;/Pair&gt;
	&lt;/StyleMap&gt;
	&lt;Style id="sh_ylw-pushpin"&gt;
		&lt;IconStyle&gt;
			&lt;scale&gt;1.3&lt;/scale&gt;
			&lt;Icon&gt;
				&lt;href&gt;http://maps.google.com/mapfiles/kml/pushpin/ylw-pushpin.png&lt;/href&gt;
			&lt;/Icon&gt;
			&lt;hotSpot x="20" y="2" xunits="pixels" yunits="pixels"/&gt;
		&lt;/IconStyle&gt;
		&lt;BalloonStyle&gt;
		&lt;/BalloonStyle&gt;
		&lt;LineStyle&gt;
			&lt;width&gt;10&lt;/width&gt;
		&lt;/LineStyle&gt;
	&lt;/Style&gt;
	&lt;Style id="sn_ylw-pushpin"&gt;
		&lt;IconStyle&gt;
			&lt;scale&gt;1.1&lt;/scale&gt;
			&lt;Icon&gt;
				&lt;href&gt;http://maps.google.com/mapfiles/kml/pushpin/ylw-pushpin.png&lt;/href&gt;
			&lt;/Icon&gt;
			&lt;hotSpot x="20" y="2" xunits="pixels" yunits="pixels"/&gt;
		&lt;/IconStyle&gt;
		&lt;BalloonStyle&gt;
		&lt;/BalloonStyle&gt;
		&lt;LineStyle&gt;
			&lt;width&gt;10&lt;/width&gt;
		&lt;/LineStyle&gt;
	&lt;/Style&gt;
	&lt;Placemark&gt;
		&lt;name&gt;Caminho sem título&lt;/name&gt;
		&lt;snippet&gt;&lt;/snippet&gt;
		&lt;styleUrl&gt;#msn_ylw-pushpin&lt;/styleUrl&gt;
		&lt;MultiGeometry&gt;
			&lt;LineString&gt;
				&lt;tessellate&gt;1&lt;/tessellate&gt;
				&lt;coordinates&gt;
					-42.75149644845114,-5.034538245014851,0 -42.75144927940892,-5.029938388987855,0 -42.7515078255127,-5.032394678152032,0 -42.75226406188038,-5.032939587842058,0 
				&lt;/coordinates&gt;
			&lt;/LineString&gt;
			&lt;LineString&gt;
				&lt;tessellate&gt;1&lt;/tessellate&gt;
				&lt;coordinates&gt;
					-42.75260887291106,-5.033311948343111,0 -42.75241551363042,-5.033569799203354,0 
				&lt;/coordinates&gt;
			&lt;/LineString&gt;
		&lt;/MultiGeometry&gt;
		&lt;atom:link rel="app" href="https://www.google.com/earth/about/versions/#earth-pro" title="Google Earth Pro 7.3.7.1155"&gt;&lt;/atom:link&gt;
	&lt;/Placemark&gt;
&lt;/Document&gt;
&lt;/kml&gt;</t>
  </si>
  <si>
    <t>REFORMA E AMPLIAÇÃO DO CETI PROFESSOR JOCA VIEIRA EM TERESINA</t>
  </si>
  <si>
    <t>&lt;?xml version="1.0" encoding="UTF-8"?&gt;
&lt;kml xmlns="http://www.opengis.net/kml/2.2" xmlns:gx="http://www.google.com/kml/ext/2.2" xmlns:kml="http://www.opengis.net/kml/2.2" xmlns:atom="http://www.w3.org/2005/Atom"&gt;
&lt;Document id="1rsITNc960ydwqzdwJd8ivPjmujIT5O8m"&gt;
	&lt;name&gt;Mapa sem título&lt;/name&gt;
	&lt;gx:CascadingStyle kml:id="__managed_style_02D7C658433F14290730_normal"&gt;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&lt;gx:CascadingStyle kml:id="__managed_style_02D7C658433F14290730_highlight"&gt;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&lt;StyleMap id="__managed_style_02D7C658433F14290730"&gt;
		&lt;Pair&gt;
			&lt;key&gt;normal&lt;/key&gt;
			&lt;styleUrl&gt;#__managed_style_02D7C658433F14290730_normal&lt;/styleUrl&gt;
		&lt;/Pair&gt;
		&lt;Pair&gt;
			&lt;key&gt;highlight&lt;/key&gt;
			&lt;styleUrl&gt;#__managed_style_02D7C658433F14290730_highlight&lt;/styleUrl&gt;
		&lt;/Pair&gt;
	&lt;/StyleMap&gt;
	&lt;Placemark id="018E7365BB3F14403934"&gt;
		&lt;gx:mid&gt;/g/1tfrgzh1&lt;/gx:mid&gt;
		&lt;gx:fid&gt;0x78e3a1c80b29459:0x511d3219f54d1714&lt;/gx:fid&gt;
		&lt;LookAt&gt;
			&lt;longitude&gt;-42.78088810000001&lt;/longitude&gt;
			&lt;latitude&gt;-5.082953600000001&lt;/latitude&gt;
			&lt;altitude&gt;0&lt;/altitude&gt;
			&lt;heading&gt;0&lt;/heading&gt;
			&lt;tilt&gt;0&lt;/tilt&gt;
			&lt;gx:fovy&gt;35&lt;/gx:fovy&gt;
			&lt;range&gt;1051.891301987411&lt;/range&gt;
			&lt;altitudeMode&gt;relativeToGround&lt;/altitudeMode&gt;
		&lt;/LookAt&gt;
		&lt;styleUrl&gt;#__managed_style_02D7C658433F14290730&lt;/styleUrl&gt;
		&lt;Point&gt;
			&lt;altitudeMode&gt;relativeToGround&lt;/altitudeMode&gt;
			&lt;coordinates&gt;-42.7808881,-5.0829536,0&lt;/coordinates&gt;
		&lt;/Point&gt;
	&lt;/Placemark&gt;
&lt;/Document&gt;
&lt;/kml&gt;</t>
  </si>
  <si>
    <t>REFORMA, AMPLIAÇÃO E CONCLUSÃO DA QUADRA DO CETI MARIA MODESTINA BEZERRA EM TERESINA CT 245/2022</t>
  </si>
  <si>
    <t>NOVO HORIZONTE</t>
  </si>
  <si>
    <t>&lt;?xml version="1.0" encoding="UTF-8"?&gt;
&lt;kml xmlns="http://www.opengis.net/kml/2.2" xmlns:gx="http://www.google.com/kml/ext/2.2" xmlns:kml="http://www.opengis.net/kml/2.2" xmlns:atom="http://www.w3.org/2005/Atom"&gt;
&lt;Document&gt;
	&lt;name&gt;CETI MODESTINA BEZERRA.kmz&lt;/name&gt;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&lt;name&gt;CETI MODESTINA BEZERRA&lt;/name&gt;
		&lt;LookAt&gt;
			&lt;longitude&gt;-42.75031250088185&lt;/longitude&gt;
			&lt;latitude&gt;-5.110187499588482&lt;/latitude&gt;
			&lt;altitude&gt;0&lt;/altitude&gt;
			&lt;heading&gt;-7.998454937251099e-10&lt;/heading&gt;
			&lt;tilt&gt;45.00000000041152&lt;/tilt&gt;
			&lt;range&gt;1071.588780926802&lt;/range&gt;
			&lt;gx:altitudeMode&gt;relativeToSeaFloor&lt;/gx:altitudeMode&gt;
		&lt;/LookAt&gt;
		&lt;styleUrl&gt;#m_ylw-pushpin&lt;/styleUrl&gt;
		&lt;Point&gt;
			&lt;gx:drawOrder&gt;1&lt;/gx:drawOrder&gt;
			&lt;coordinates&gt;-42.75045260317656,-5.109930228582678,0&lt;/coordinates&gt;
		&lt;/Point&gt;
		&lt;atom:link rel="app" href="https://www.google.com/earth/about/versions/#earth-pro" title="Google Earth Pro 7.3.6.10201"&gt;&lt;/atom:link&gt;
	&lt;/Placemark&gt;
&lt;/Document&gt;
&lt;/kml&gt;</t>
  </si>
  <si>
    <t>REFORMA DA U. E. PROF HELENA AQUINO EM TERESINA</t>
  </si>
  <si>
    <t>PARQUE ALVORADA</t>
  </si>
  <si>
    <t>&lt;?xml version="1.0" encoding="UTF-8"?&gt;
&lt;kml xmlns="http://www.opengis.net/kml/2.2" xmlns:gx="http://www.google.com/kml/ext/2.2" xmlns:kml="http://www.opengis.net/kml/2.2" xmlns:atom="http://www.w3.org/2005/Atom"&gt;
&lt;Document&gt;
	&lt;name&gt;U. E. PROF HELENA AQUINO.kml&lt;/name&gt;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&lt;name&gt;U. E. PROF HELENA AQUINO&lt;/name&gt;
		&lt;LookAt&gt;
			&lt;longitude&gt;-42.82685870426289&lt;/longitude&gt;
			&lt;latitude&gt;-5.058780241168737&lt;/latitude&gt;
			&lt;altitude&gt;0&lt;/altitude&gt;
			&lt;heading&gt;2.382621171426491e-06&lt;/heading&gt;
			&lt;tilt&gt;24.15523744867915&lt;/tilt&gt;
			&lt;range&gt;181.9814820606599&lt;/range&gt;
			&lt;gx:altitudeMode&gt;relativeToSeaFloor&lt;/gx:altitudeMode&gt;
		&lt;/LookAt&gt;
		&lt;styleUrl&gt;#m_ylw-pushpin&lt;/styleUrl&gt;
		&lt;Point&gt;
			&lt;gx:drawOrder&gt;1&lt;/gx:drawOrder&gt;
			&lt;coordinates&gt;-42.82689575640504,-5.058800240694898,0&lt;/coordinates&gt;
		&lt;/Point&gt;
		&lt;atom:link rel="app" href="https://www.google.com/earth/about/versions/#earth-pro" title="Google Earth Pro 7.3.7.1155"&gt;&lt;/atom:link&gt;
	&lt;/Placemark&gt;
&lt;/Document&gt;
&lt;/kml&gt;</t>
  </si>
  <si>
    <t>REFORMA E AMPLIAÇÃO DO CETI JOSE PEREIRA DA SILVA EM TERESINA</t>
  </si>
  <si>
    <t>&lt;?xml version="1.0" encoding="UTF-8"?&gt;
&lt;kml xmlns="http://www.opengis.net/kml/2.2" xmlns:gx="http://www.google.com/kml/ext/2.2" xmlns:kml="http://www.opengis.net/kml/2.2" xmlns:atom="http://www.w3.org/2005/Atom"&gt;
&lt;Document&gt;
	&lt;name&gt;CETI JOSE PEREIRA DA SILVA.kml&lt;/name&gt;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&lt;name&gt;CETI JOSE PEREIRA DA SILVA&lt;/name&gt;
		&lt;LookAt&gt;
			&lt;longitude&gt;-42.82789339303465&lt;/longitude&gt;
			&lt;latitude&gt;-4.998913290175139&lt;/latitude&gt;
			&lt;altitude&gt;0&lt;/altitude&gt;
			&lt;heading&gt;-0.0003497659968187846&lt;/heading&gt;
			&lt;tilt&gt;17.00439467163023&lt;/tilt&gt;
			&lt;range&gt;432.9657184101295&lt;/range&gt;
			&lt;gx:altitudeMode&gt;relativeToSeaFloor&lt;/gx:altitudeMode&gt;
		&lt;/LookAt&gt;
		&lt;styleUrl&gt;#m_ylw-pushpin&lt;/styleUrl&gt;
		&lt;Point&gt;
			&lt;gx:drawOrder&gt;1&lt;/gx:drawOrder&gt;
			&lt;coordinates&gt;-42.82788600391121,-4.999129992504104,0&lt;/coordinates&gt;
		&lt;/Point&gt;
		&lt;atom:link rel="app" href="https://www.google.com/earth/about/versions/#earth-pro" title="Google Earth Pro 7.3.7.1155"&gt;&lt;/atom:link&gt;
	&lt;/Placemark&gt;
&lt;/Document&gt;
&lt;/kml&gt;</t>
  </si>
  <si>
    <t>REFORMA DA SEDE DA 19ª GRE (CETI MONS. CÍCERO PORTELA) EM TERESINA</t>
  </si>
  <si>
    <t>&lt;?xml version="1.0" encoding="UTF-8"?&gt;
&lt;kml xmlns="http://www.opengis.net/kml/2.2" xmlns:gx="http://www.google.com/kml/ext/2.2" xmlns:kml="http://www.opengis.net/kml/2.2" xmlns:atom="http://www.w3.org/2005/Atom"&gt;
&lt;Document id="1rsITNc960ydwqzdwJd8ivPjmujIT5O8m"&gt;
	&lt;name&gt;Mapa sem título&lt;/name&gt;
	&lt;gx:CascadingStyle kml:id="__managed_style_0473B556483F14139A01_highlight"&gt;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kml:id="__managed_style_0473B556483F14139A01_normal"&gt;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id="__managed_style_0473B556483F14139A01"&gt;
		&lt;Pair&gt;
			&lt;key&gt;normal&lt;/key&gt;
			&lt;styleUrl&gt;#__managed_style_0473B556483F14139A01_normal&lt;/styleUrl&gt;
		&lt;/Pair&gt;
		&lt;Pair&gt;
			&lt;key&gt;highlight&lt;/key&gt;
			&lt;styleUrl&gt;#__managed_style_0473B556483F14139A01_highlight&lt;/styleUrl&gt;
		&lt;/Pair&gt;
	&lt;/StyleMap&gt;
	&lt;Placemark id="0BAB7135153F142615EC"&gt;
		&lt;gx:mid&gt;/g/11vr9tvlg6&lt;/gx:mid&gt;
		&lt;gx:fid&gt;0x78e37002aa0c64d:0x6208e4effb26612&lt;/gx:fid&gt;
		&lt;LookAt&gt;
			&lt;longitude&gt;-42.7883944&lt;/longitude&gt;
			&lt;latitude&gt;-5.1412765&lt;/latitude&gt;
			&lt;altitude&gt;0&lt;/altitude&gt;
			&lt;heading&gt;0&lt;/heading&gt;
			&lt;tilt&gt;0&lt;/tilt&gt;
			&lt;gx:fovy&gt;35&lt;/gx:fovy&gt;
			&lt;range&gt;1051.78407410851&lt;/range&gt;
			&lt;altitudeMode&gt;relativeToGround&lt;/altitudeMode&gt;
		&lt;/LookAt&gt;
		&lt;styleUrl&gt;#__managed_style_0473B556483F14139A01&lt;/styleUrl&gt;
		&lt;Point&gt;
			&lt;altitudeMode&gt;relativeToGround&lt;/altitudeMode&gt;
			&lt;coordinates&gt;-42.7883944,-5.1412765,0&lt;/coordinates&gt;
		&lt;/Point&gt;
	&lt;/Placemark&gt;
&lt;/Document&gt;
&lt;/kml&gt;</t>
  </si>
  <si>
    <t>REFORMA E AMPLIAÇÃO DO CETI MONSENHOR CICERO PORTELA NUNES EM TERESINA - PI</t>
  </si>
  <si>
    <t>&lt;?xml version="1.0" encoding="UTF-8"?&gt;
&lt;kml xmlns="http://www.opengis.net/kml/2.2" xmlns:gx="http://www.google.com/kml/ext/2.2" xmlns:kml="http://www.opengis.net/kml/2.2" xmlns:atom="http://www.w3.org/2005/Atom"&gt;
&lt;Document&gt;
	&lt;name&gt;CETI MONSENHOR CICERO PORTELA NUNES.kml&lt;/name&gt;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&lt;name&gt;CETI MONSENHOR CICERO PORTELA NUNES&lt;/name&gt;
		&lt;LookAt&gt;
			&lt;longitude&gt;-42.78827283543121&lt;/longitude&gt;
			&lt;latitude&gt;-5.141458190349356&lt;/latitude&gt;
			&lt;altitude&gt;0&lt;/altitude&gt;
			&lt;heading&gt;3.451117531425859e-06&lt;/heading&gt;
			&lt;tilt&gt;21.98650376406806&lt;/tilt&gt;
			&lt;range&gt;256.9260628164948&lt;/range&gt;
			&lt;gx:altitudeMode&gt;relativeToSeaFloor&lt;/gx:altitudeMode&gt;
		&lt;/LookAt&gt;
		&lt;styleUrl&gt;#m_ylw-pushpin&lt;/styleUrl&gt;
		&lt;Point&gt;
			&lt;gx:drawOrder&gt;1&lt;/gx:drawOrder&gt;
			&lt;coordinates&gt;-42.78838013729097,-5.141687504811987,0&lt;/coordinates&gt;
		&lt;/Point&gt;
		&lt;atom:link rel="app" href="https://www.google.com/earth/about/versions/#earth-pro" title="Google Earth Pro 7.3.7.1155"&gt;&lt;/atom:link&gt;
	&lt;/Placemark&gt;
&lt;/Document&gt;
&lt;/kml&gt;</t>
  </si>
  <si>
    <t>CONSTRUÇÃO DE QUADRA E REFORMA DO CAS - ÁLVARO FERREIRA EM TERESINA</t>
  </si>
  <si>
    <t>&lt;?xml version="1.0" encoding="UTF-8"?&gt;
&lt;kml xmlns="http://www.opengis.net/kml/2.2" xmlns:gx="http://www.google.com/kml/ext/2.2" xmlns:kml="http://www.opengis.net/kml/2.2" xmlns:atom="http://www.w3.org/2005/Atom"&gt;
&lt;Document&gt;
	&lt;name&gt;CAS - ÁLVARO FERREIRA.kml&lt;/name&gt;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&lt;name&gt;CAS - ÁLVARO FERREIRA&lt;/name&gt;
		&lt;LookAt&gt;
			&lt;longitude&gt;-42.796805116672&lt;/longitude&gt;
			&lt;latitude&gt;-5.096349586311835&lt;/latitude&gt;
			&lt;altitude&gt;0&lt;/altitude&gt;
			&lt;heading&gt;0.3357712460787196&lt;/heading&gt;
			&lt;tilt&gt;0&lt;/tilt&gt;
			&lt;range&gt;185.5754392088339&lt;/range&gt;
			&lt;gx:altitudeMode&gt;relativeToSeaFloor&lt;/gx:altitudeMode&gt;
		&lt;/LookAt&gt;
		&lt;styleUrl&gt;#m_ylw-pushpin&lt;/styleUrl&gt;
		&lt;Point&gt;
			&lt;gx:drawOrder&gt;1&lt;/gx:drawOrder&gt;
			&lt;coordinates&gt;-42.79691214505473,-5.096528725622461,0&lt;/coordinates&gt;
		&lt;/Point&gt;
		&lt;atom:link rel="app" href="https://www.google.com/earth/about/versions/#earth-pro" title="Google Earth Pro 7.3.7.1155"&gt;&lt;/atom:link&gt;
	&lt;/Placemark&gt;
&lt;/Document&gt;
&lt;/kml&gt;</t>
  </si>
  <si>
    <t>REFORMA E AMPLIAÇÃO DA U. E. MATIAS OLÍMPIO EM TERESINA CT 032/2023</t>
  </si>
  <si>
    <t>PORENQUANTO</t>
  </si>
  <si>
    <t>&lt;?xml version="1.0" encoding="UTF-8"?&gt;
&lt;kml xmlns="http://www.opengis.net/kml/2.2" xmlns:gx="http://www.google.com/kml/ext/2.2" xmlns:kml="http://www.opengis.net/kml/2.2" xmlns:atom="http://www.w3.org/2005/Atom"&gt;
&lt;Document&gt;
	&lt;name&gt;U. E. MATIAS OLÍMPIO.kml&lt;/name&gt;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&lt;name&gt;U. E. MATIAS OLÍMPIO&lt;/name&gt;
		&lt;LookAt&gt;
			&lt;longitude&gt;-42.80573208675793&lt;/longitude&gt;
			&lt;latitude&gt;-5.077070907457826&lt;/latitude&gt;
			&lt;altitude&gt;0&lt;/altitude&gt;
			&lt;heading&gt;-1.943632357298173e-05&lt;/heading&gt;
			&lt;tilt&gt;26.3990973501134&lt;/tilt&gt;
			&lt;range&gt;166.235836414458&lt;/range&gt;
			&lt;gx:altitudeMode&gt;relativeToSeaFloor&lt;/gx:altitudeMode&gt;
		&lt;/LookAt&gt;
		&lt;styleUrl&gt;#m_ylw-pushpin&lt;/styleUrl&gt;
		&lt;Point&gt;
			&lt;gx:drawOrder&gt;1&lt;/gx:drawOrder&gt;
			&lt;coordinates&gt;-42.80582036863894,-5.077193161402684,0&lt;/coordinates&gt;
		&lt;/Point&gt;
		&lt;atom:link rel="app" href="https://www.google.com/earth/about/versions/#earth-pro" title="Google Earth Pro 7.3.7.1155"&gt;&lt;/atom:link&gt;
	&lt;/Placemark&gt;
&lt;/Document&gt;
&lt;/kml&gt;</t>
  </si>
  <si>
    <t>REFORMA DA U. E. FIRMINA SOBREIRA EM TERESINA PI</t>
  </si>
  <si>
    <t>POTI VELHO</t>
  </si>
  <si>
    <t>&lt;?xml version="1.0" encoding="UTF-8"?&gt;
&lt;kml xmlns="http://www.opengis.net/kml/2.2" xmlns:gx="http://www.google.com/kml/ext/2.2" xmlns:kml="http://www.opengis.net/kml/2.2" xmlns:atom="http://www.w3.org/2005/Atom"&gt;
&lt;Document&gt;
	&lt;name&gt;U. E. FIRMINA SOBREIRA.kml&lt;/name&gt;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&lt;name&gt;U. E. FIRMINA SOBREIRA&lt;/name&gt;
		&lt;LookAt&gt;
			&lt;longitude&gt;-42.82904355334091&lt;/longitude&gt;
			&lt;latitude&gt;-5.036253979255133&lt;/latitude&gt;
			&lt;altitude&gt;0&lt;/altitude&gt;
			&lt;heading&gt;-0.1146014171865909&lt;/heading&gt;
			&lt;tilt&gt;21.53744491399&lt;/tilt&gt;
			&lt;range&gt;317.9390288090752&lt;/range&gt;
			&lt;gx:altitudeMode&gt;relativeToSeaFloor&lt;/gx:altitudeMode&gt;
		&lt;/LookAt&gt;
		&lt;styleUrl&gt;#m_ylw-pushpin&lt;/styleUrl&gt;
		&lt;Point&gt;
			&lt;gx:drawOrder&gt;1&lt;/gx:drawOrder&gt;
			&lt;coordinates&gt;-42.82915777949383,-5.03621693332139,0&lt;/coordinates&gt;
		&lt;/Point&gt;
		&lt;atom:link rel="app" href="https://www.google.com/earth/about/versions/#earth-pro" title="Google Earth Pro 7.3.7.1155"&gt;&lt;/atom:link&gt;
	&lt;/Placemark&gt;
&lt;/Document&gt;
&lt;/kml&gt;</t>
  </si>
  <si>
    <t>REFORMA DA QUADRA DO CETI SOLANGE SINIMBU VIANA AREA LEAO</t>
  </si>
  <si>
    <t>PROMORAR</t>
  </si>
  <si>
    <t>&lt;?xml version="1.0" encoding="UTF-8"?&gt;
&lt;kml xmlns="http://www.opengis.net/kml/2.2" xmlns:gx="http://www.google.com/kml/ext/2.2" xmlns:kml="http://www.opengis.net/kml/2.2" xmlns:atom="http://www.w3.org/2005/Atom"&gt;
&lt;Document id="document"&gt;
	&lt;name&gt;Mapa sem título&lt;/name&gt;
	&lt;gx:CascadingStyle kml:id="__managed_style_0BCC1B094B3F1399DFF0_highlight"&gt;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kml:id="__managed_style_0BCC1B094B3F1399DFF0_normal"&gt;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id="__managed_style_0BCC1B094B3F1399DFF0"&gt;
		&lt;Pair&gt;
			&lt;key&gt;normal&lt;/key&gt;
			&lt;styleUrl&gt;#__managed_style_0BCC1B094B3F1399DFF0_normal&lt;/styleUrl&gt;
		&lt;/Pair&gt;
		&lt;Pair&gt;
			&lt;key&gt;highlight&lt;/key&gt;
			&lt;styleUrl&gt;#__managed_style_0BCC1B094B3F1399DFF0_highlight&lt;/styleUrl&gt;
		&lt;/Pair&gt;
	&lt;/StyleMap&gt;
	&lt;Placemark id="0FA0AAA5763F1399DFD6"&gt;
		&lt;name&gt;ceti&lt;/name&gt;
		&lt;LookAt&gt;
			&lt;longitude&gt;-42.77932859613706&lt;/longitude&gt;
			&lt;latitude&gt;-5.147804386086826&lt;/latitude&gt;
			&lt;altitude&gt;110.3384198500914&lt;/altitude&gt;
			&lt;heading&gt;0&lt;/heading&gt;
			&lt;tilt&gt;0&lt;/tilt&gt;
			&lt;gx:fovy&gt;35&lt;/gx:fovy&gt;
			&lt;range&gt;234.667978557809&lt;/range&gt;
			&lt;altitudeMode&gt;absolute&lt;/altitudeMode&gt;
		&lt;/LookAt&gt;
		&lt;styleUrl&gt;#__managed_style_0BCC1B094B3F1399DFF0&lt;/styleUrl&gt;
		&lt;Point&gt;
			&lt;coordinates&gt;-42.77937101906541,-5.147665659048806,110.3147936784564&lt;/coordinates&gt;
		&lt;/Point&gt;
	&lt;/Placemark&gt;
&lt;/Document&gt;
&lt;/kml&gt;</t>
  </si>
  <si>
    <t>REFORMA E AMPLIAÇÃO DO CETI SOLANGE SINIMBU VIANA AREA LEÃO EM TERESINA</t>
  </si>
  <si>
    <t>&lt;?xml version="1.0" encoding="UTF-8"?&gt;
&lt;kml xmlns="http://www.opengis.net/kml/2.2" xmlns:gx="http://www.google.com/kml/ext/2.2" xmlns:kml="http://www.opengis.net/kml/2.2" xmlns:atom="http://www.w3.org/2005/Atom"&gt;
&lt;Document id="document"&gt;
	&lt;name&gt;Mapa sem título&lt;/name&gt;
	&lt;gx:CascadingStyle kml:id="__managed_style_068F458FCD3F139BDC9F_highlight"&gt;
		&lt;Style&gt;
			&lt;IconStyle&gt;
				&lt;scale&gt;1.2&lt;/scale&gt;
				&lt;Icon&gt;
					&lt;href&gt;https://earth.google.com/earth/document/icon?color=1976d2&amp;amp;id=2000&amp;amp;scale=4&lt;/href&gt;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&lt;displayMode&gt;hide&lt;/displayMode&gt;
			&lt;/BalloonStyle&gt;
		&lt;/Style&gt;
	&lt;/gx:CascadingStyle&gt;
	&lt;gx:CascadingStyle kml:id="__managed_style_068F458FCD3F139BDC9F_normal"&gt;
		&lt;Style&gt;
			&lt;IconStyle&gt;
				&lt;Icon&gt;
					&lt;href&gt;https://earth.google.com/earth/document/icon?color=1976d2&amp;amp;id=2000&amp;amp;scale=4&lt;/href&gt;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&lt;displayMode&gt;hide&lt;/displayMode&gt;
			&lt;/BalloonStyle&gt;
		&lt;/Style&gt;
	&lt;/gx:CascadingStyle&gt;
	&lt;StyleMap id="__managed_style_068F458FCD3F139BDC9F"&gt;
		&lt;Pair&gt;
			&lt;key&gt;normal&lt;/key&gt;
			&lt;styleUrl&gt;#__managed_style_068F458FCD3F139BDC9F_normal&lt;/styleUrl&gt;
		&lt;/Pair&gt;
		&lt;Pair&gt;
			&lt;key&gt;highlight&lt;/key&gt;
			&lt;styleUrl&gt;#__managed_style_068F458FCD3F139BDC9F_highlight&lt;/styleUrl&gt;
		&lt;/Pair&gt;
	&lt;/StyleMap&gt;
	&lt;Placemark id="0E71BA16F13F139C32E9"&gt;
		&lt;name&gt;CETI&lt;/name&gt;
		&lt;LookAt&gt;
			&lt;longitude&gt;-42.77914481801292&lt;/longitude&gt;
			&lt;latitude&gt;-5.147694356994808&lt;/latitude&gt;
			&lt;altitude&gt;111.1874633674166&lt;/altitude&gt;
			&lt;heading&gt;0&lt;/heading&gt;
			&lt;tilt&gt;0&lt;/tilt&gt;
			&lt;gx:fovy&gt;35&lt;/gx:fovy&gt;
			&lt;range&gt;160.0805168997249&lt;/range&gt;
			&lt;altitudeMode&gt;absolute&lt;/altitudeMode&gt;
		&lt;/LookAt&gt;
		&lt;styleUrl&gt;#__managed_style_068F458FCD3F139BDC9F&lt;/styleUrl&gt;
		&lt;Point&gt;
			&lt;coordinates&gt;-42.77928795311895,-5.147574435073139,110.7580860106161&lt;/coordinates&gt;
		&lt;/Point&gt;
	&lt;/Placemark&gt;
&lt;/Document&gt;
&lt;/kml&gt;</t>
  </si>
  <si>
    <t>REFORMA DO CETI PROFESSOR RALDIR CAVALCANTE BASTOS EM TERESINA</t>
  </si>
  <si>
    <t>&lt;?xml version="1.0" encoding="UTF-8"?&gt;
&lt;kml xmlns="http://www.opengis.net/kml/2.2" xmlns:gx="http://www.google.com/kml/ext/2.2" xmlns:kml="http://www.opengis.net/kml/2.2" xmlns:atom="http://www.w3.org/2005/Atom"&gt;
&lt;Document&gt;
	&lt;name&gt;CETI PROFESSOR RALDIR CAVALCANTE BASTOS.kml&lt;/name&gt;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&lt;name&gt;CETI PROFESSOR RALDIR CAVALCANTE BASTOS&lt;/name&gt;
		&lt;LookAt&gt;
			&lt;longitude&gt;-42.74400799875539&lt;/longitude&gt;
			&lt;latitude&gt;-5.099260256948074&lt;/latitude&gt;
			&lt;altitude&gt;0&lt;/altitude&gt;
			&lt;heading&gt;-9.046626366886626e-06&lt;/heading&gt;
			&lt;tilt&gt;25.69870303128883&lt;/tilt&gt;
			&lt;range&gt;155.025737665858&lt;/range&gt;
			&lt;gx:altitudeMode&gt;relativeToSeaFloor&lt;/gx:altitudeMode&gt;
		&lt;/LookAt&gt;
		&lt;styleUrl&gt;#m_ylw-pushpin&lt;/styleUrl&gt;
		&lt;Point&gt;
			&lt;gx:drawOrder&gt;1&lt;/gx:drawOrder&gt;
			&lt;coordinates&gt;-42.74411845804885,-5.099350997186241,0&lt;/coordinates&gt;
		&lt;/Point&gt;
		&lt;atom:link rel="app" href="https://www.google.com/earth/about/versions/#earth-pro" title="Google Earth Pro 7.3.7.1155"&gt;&lt;/atom:link&gt;
	&lt;/Placemark&gt;
&lt;/Document&gt;
&lt;/kml&gt;</t>
  </si>
  <si>
    <t>REFORMA DA QUADRA NO CETI DR. FONTES IBIAPINA EM TERESINA-PI</t>
  </si>
  <si>
    <t>&lt;?xml version="1.0" encoding="UTF-8"?&gt;
&lt;kml xmlns="http://www.opengis.net/kml/2.2" xmlns:gx="http://www.google.com/kml/ext/2.2" xmlns:kml="http://www.opengis.net/kml/2.2" xmlns:atom="http://www.w3.org/2005/Atom"&gt;
&lt;Document&gt;
	&lt;name&gt;QUADRA CETI DR. FONTES IBIAPINA.kml&lt;/name&gt;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&lt;name&gt;QUADRA CETI DR. FONTES IBIAPINA&lt;/name&gt;
		&lt;LookAt&gt;
			&lt;longitude&gt;-42.73989007249387&lt;/longitude&gt;
			&lt;latitude&gt;-5.104544784133118&lt;/latitude&gt;
			&lt;altitude&gt;0&lt;/altitude&gt;
			&lt;heading&gt;3.297865797961482e-06&lt;/heading&gt;
			&lt;tilt&gt;20.21488056121705&lt;/tilt&gt;
			&lt;range&gt;310.7082771472091&lt;/range&gt;
			&lt;gx:altitudeMode&gt;relativeToSeaFloor&lt;/gx:altitudeMode&gt;
		&lt;/LookAt&gt;
		&lt;styleUrl&gt;#m_ylw-pushpin&lt;/styleUrl&gt;
		&lt;Point&gt;
			&lt;gx:drawOrder&gt;1&lt;/gx:drawOrder&gt;
			&lt;coordinates&gt;-42.74057111151572,-5.104739545661548,0&lt;/coordinates&gt;
		&lt;/Point&gt;
		&lt;atom:link rel="app" href="https://www.google.com/earth/about/versions/#earth-pro" title="Google Earth Pro 7.3.7.1155"&gt;&lt;/atom:link&gt;
	&lt;/Placemark&gt;
&lt;/Document&gt;
&lt;/kml&gt;</t>
  </si>
  <si>
    <t>REFORMA E AMPLIAÇÃO DO CETI DR FONTES IBIAPINA EM TERESINA</t>
  </si>
  <si>
    <t>&lt;?xml version="1.0" encoding="UTF-8"?&gt;
&lt;kml xmlns="http://www.opengis.net/kml/2.2" xmlns:gx="http://www.google.com/kml/ext/2.2" xmlns:kml="http://www.opengis.net/kml/2.2" xmlns:atom="http://www.w3.org/2005/Atom"&gt;
&lt;Document&gt;
	&lt;name&gt;CETI DR. FONTES IBIAPINA.kml&lt;/name&gt;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&lt;name&gt;CETI DR. FONTES IBIAPINA&lt;/name&gt;
		&lt;LookAt&gt;
			&lt;longitude&gt;-42.73989007249387&lt;/longitude&gt;
			&lt;latitude&gt;-5.104544784133118&lt;/latitude&gt;
			&lt;altitude&gt;0&lt;/altitude&gt;
			&lt;heading&gt;3.297865797961482e-06&lt;/heading&gt;
			&lt;tilt&gt;20.21488056121705&lt;/tilt&gt;
			&lt;range&gt;310.7082771472091&lt;/range&gt;
			&lt;gx:altitudeMode&gt;relativeToSeaFloor&lt;/gx:altitudeMode&gt;
		&lt;/LookAt&gt;
		&lt;styleUrl&gt;#m_ylw-pushpin&lt;/styleUrl&gt;
		&lt;Point&gt;
			&lt;gx:drawOrder&gt;1&lt;/gx:drawOrder&gt;
			&lt;coordinates&gt;-42.73980118728048,-5.104602049680655,0&lt;/coordinates&gt;
		&lt;/Point&gt;
		&lt;atom:link rel="app" href="https://www.google.com/earth/about/versions/#earth-pro" title="Google Earth Pro 7.3.7.1155"&gt;&lt;/atom:link&gt;
	&lt;/Placemark&gt;
&lt;/Document&gt;
&lt;/kml&gt;</t>
  </si>
  <si>
    <t>SUBESTAÇÃO E INSTALAÇÕES ELÉTRICAS NO CETI MARIA DA CONCEIÇÃO SALOMÉ EM TERESINA CT 051/2023</t>
  </si>
  <si>
    <t>&lt;?xml version="1.0" encoding="UTF-8"?&gt;
&lt;kml xmlns="http://www.opengis.net/kml/2.2" xmlns:gx="http://www.google.com/kml/ext/2.2" xmlns:kml="http://www.opengis.net/kml/2.2" xmlns:atom="http://www.w3.org/2005/Atom"&gt;
&lt;Document&gt;
	&lt;name&gt;CETI MARIA DA CONCEIÇÃO SALOMÉ.kml&lt;/name&gt;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&lt;name&gt;CETI MARIA DA CONCEIÇÃO SALOMÉ&lt;/name&gt;
		&lt;LookAt&gt;
			&lt;longitude&gt;-42.73945349319019&lt;/longitude&gt;
			&lt;latitude&gt;-5.097213180344977&lt;/latitude&gt;
			&lt;altitude&gt;0&lt;/altitude&gt;
			&lt;heading&gt;-0.0673881356017063&lt;/heading&gt;
			&lt;tilt&gt;25.1619972975623&lt;/tilt&gt;
			&lt;range&gt;238.4096077753676&lt;/range&gt;
			&lt;gx:altitudeMode&gt;relativeToSeaFloor&lt;/gx:altitudeMode&gt;
		&lt;/LookAt&gt;
		&lt;styleUrl&gt;#m_ylw-pushpin&lt;/styleUrl&gt;
		&lt;Point&gt;
			&lt;gx:drawOrder&gt;1&lt;/gx:drawOrder&gt;
			&lt;coordinates&gt;-42.73947014328895,-5.097378407199434,0&lt;/coordinates&gt;
		&lt;/Point&gt;
		&lt;atom:link rel="app" href="https://www.google.com/earth/about/versions/#earth-pro" title="Google Earth Pro 7.3.7.1155"&gt;&lt;/atom:link&gt;
	&lt;/Placemark&gt;
&lt;/Document&gt;
&lt;/kml&gt;</t>
  </si>
  <si>
    <t>REFORMA E AMPLIAÇÃO DA U. E. MUNDIM FERRAZ EM TERESINA-PI</t>
  </si>
  <si>
    <t>&lt;?xml version="1.0" encoding="UTF-8"?&gt;
&lt;kml xmlns="http://www.opengis.net/kml/2.2" xmlns:gx="http://www.google.com/kml/ext/2.2" xmlns:kml="http://www.opengis.net/kml/2.2" xmlns:atom="http://www.w3.org/2005/Atom"&gt;
&lt;Document&gt;
	&lt;name&gt;U. E. MUNDIM FERRAZ.kml&lt;/name&gt;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&lt;name&gt;U. E. MUNDIM FERRAZ&lt;/name&gt;
		&lt;LookAt&gt;
			&lt;longitude&gt;-42.83485188743128&lt;/longitude&gt;
			&lt;latitude&gt;-4.986185334686374&lt;/latitude&gt;
			&lt;altitude&gt;0&lt;/altitude&gt;
			&lt;heading&gt;-1.858935583905031e-06&lt;/heading&gt;
			&lt;tilt&gt;22.35008092628592&lt;/tilt&gt;
			&lt;range&gt;217.7664845164005&lt;/range&gt;
			&lt;gx:altitudeMode&gt;relativeToSeaFloor&lt;/gx:altitudeMode&gt;
		&lt;/LookAt&gt;
		&lt;styleUrl&gt;#m_ylw-pushpin&lt;/styleUrl&gt;
		&lt;Point&gt;
			&lt;gx:drawOrder&gt;1&lt;/gx:drawOrder&gt;
			&lt;coordinates&gt;-42.83492192338805,-4.986423671930028,0&lt;/coordinates&gt;
		&lt;/Point&gt;
		&lt;atom:link rel="app" href="https://www.google.com/earth/about/versions/#earth-pro" title="Google Earth Pro 7.3.7.1155"&gt;&lt;/atom:link&gt;
	&lt;/Placemark&gt;
&lt;/Document&gt;
&lt;/kml&gt;</t>
  </si>
  <si>
    <t>INSTALAÇÃO DE SUBESTAÇÃO NAS U. E. ODYLO DE BRITO, SHIRLEY COSTA E PADRE REGO EM TERESINA</t>
  </si>
  <si>
    <t>SANTA MARIA DA CODIPI, PARQUE PIAUI</t>
  </si>
  <si>
    <t xml:space="preserve">NORTE, SUL </t>
  </si>
  <si>
    <t>REFORMA DA U. E. BENJAMIN BAPTISTA EM TERESINA</t>
  </si>
  <si>
    <t>&lt;?xml version="1.0" encoding="UTF-8"?&gt;
&lt;kml xmlns="http://www.opengis.net/kml/2.2" xmlns:gx="http://www.google.com/kml/ext/2.2" xmlns:kml="http://www.opengis.net/kml/2.2" xmlns:atom="http://www.w3.org/2005/Atom"&gt;
&lt;Document id="1rsITNc960ydwqzdwJd8ivPjmujIT5O8m"&gt;
	&lt;name&gt;Mapa sem título&lt;/name&gt;
	&lt;gx:CascadingStyle kml:id="__managed_style_0473B556483F14139A01_highlight"&gt;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kml:id="__managed_style_0473B556483F14139A01_normal"&gt;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id="__managed_style_0473B556483F14139A01"&gt;
		&lt;Pair&gt;
			&lt;key&gt;normal&lt;/key&gt;
			&lt;styleUrl&gt;#__managed_style_0473B556483F14139A01_normal&lt;/styleUrl&gt;
		&lt;/Pair&gt;
		&lt;Pair&gt;
			&lt;key&gt;highlight&lt;/key&gt;
			&lt;styleUrl&gt;#__managed_style_0473B556483F14139A01_highlight&lt;/styleUrl&gt;
		&lt;/Pair&gt;
	&lt;/StyleMap&gt;
	&lt;Placemark id="0651CF3CD53F1424C65F"&gt;
		&lt;gx:mid&gt;/g/1td6sffs&lt;/gx:mid&gt;
		&lt;gx:fid&gt;0x78e39c1e9973a77:0x42795607a1127dc1&lt;/gx:fid&gt;
		&lt;LookAt&gt;
			&lt;longitude&gt;-42.82193729999999&lt;/longitude&gt;
			&lt;latitude&gt;-5.084078699999999&lt;/latitude&gt;
			&lt;altitude&gt;0&lt;/altitude&gt;
			&lt;heading&gt;0&lt;/heading&gt;
			&lt;tilt&gt;0&lt;/tilt&gt;
			&lt;gx:fovy&gt;35&lt;/gx:fovy&gt;
			&lt;range&gt;1051.889244989225&lt;/range&gt;
			&lt;altitudeMode&gt;relativeToGround&lt;/altitudeMode&gt;
		&lt;/LookAt&gt;
		&lt;styleUrl&gt;#__managed_style_0473B556483F14139A01&lt;/styleUrl&gt;
		&lt;Point&gt;
			&lt;altitudeMode&gt;relativeToGround&lt;/altitudeMode&gt;
			&lt;coordinates&gt;-42.8219356,-5.084087999999999,0&lt;/coordinates&gt;
		&lt;/Point&gt;
	&lt;/Placemark&gt;
&lt;/Document&gt;
&lt;/kml&gt;</t>
  </si>
  <si>
    <t>REFORMA DO CETI ZACARIAS DE GÓIS EM TERESINA</t>
  </si>
  <si>
    <t>&lt;?xml version="1.0" encoding="UTF-8"?&gt;
&lt;kml xmlns="http://www.opengis.net/kml/2.2" xmlns:gx="http://www.google.com/kml/ext/2.2" xmlns:kml="http://www.opengis.net/kml/2.2" xmlns:atom="http://www.w3.org/2005/Atom"&gt;
&lt;Document id="1rsITNc960ydwqzdwJd8ivPjmujIT5O8m"&gt;
	&lt;name&gt;Mapa sem título&lt;/name&gt;
	&lt;gx:CascadingStyle kml:id="__managed_style_02D7C658433F14290730_normal"&gt;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&lt;gx:CascadingStyle kml:id="__managed_style_02D7C658433F14290730_highlight"&gt;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&lt;StyleMap id="__managed_style_02D7C658433F14290730"&gt;
		&lt;Pair&gt;
			&lt;key&gt;normal&lt;/key&gt;
			&lt;styleUrl&gt;#__managed_style_02D7C658433F14290730_normal&lt;/styleUrl&gt;
		&lt;/Pair&gt;
		&lt;Pair&gt;
			&lt;key&gt;highlight&lt;/key&gt;
			&lt;styleUrl&gt;#__managed_style_02D7C658433F14290730_highlight&lt;/styleUrl&gt;
		&lt;/Pair&gt;
	&lt;/StyleMap&gt;
	&lt;Placemark id="0633CADE173F14279EEC"&gt;
		&lt;gx:mid&gt;/g/11fkljzbsk&lt;/gx:mid&gt;
		&lt;gx:fid&gt;0x78e3912385f8adb:0x6454b7672147e66&lt;/gx:fid&gt;
		&lt;LookAt&gt;
			&lt;longitude&gt;-42.8174456&lt;/longitude&gt;
			&lt;latitude&gt;-5.0865276&lt;/latitude&gt;
			&lt;altitude&gt;0&lt;/altitude&gt;
			&lt;heading&gt;0&lt;/heading&gt;
			&lt;tilt&gt;0&lt;/tilt&gt;
			&lt;gx:fovy&gt;35&lt;/gx:fovy&gt;
			&lt;range&gt;1051.884766146452&lt;/range&gt;
			&lt;altitudeMode&gt;relativeToGround&lt;/altitudeMode&gt;
		&lt;/LookAt&gt;
		&lt;styleUrl&gt;#__managed_style_02D7C658433F14290730&lt;/styleUrl&gt;
		&lt;Point&gt;
			&lt;altitudeMode&gt;relativeToGround&lt;/altitudeMode&gt;
			&lt;coordinates&gt;-42.8174424,-5.0865341,0&lt;/coordinates&gt;
		&lt;/Point&gt;
	&lt;/Placemark&gt;
&lt;/Document&gt;
&lt;/kml&gt;</t>
  </si>
  <si>
    <t>CONSTRUÇÃO DE QUADRA POLIESPORTIVA NA U.E AUREA FREIRE EM TERESINA-PI</t>
  </si>
  <si>
    <t>&lt;?xml version="1.0" encoding="UTF-8"?&gt;
&lt;kml xmlns="http://www.opengis.net/kml/2.2" xmlns:gx="http://www.google.com/kml/ext/2.2" xmlns:kml="http://www.opengis.net/kml/2.2" xmlns:atom="http://www.w3.org/2005/Atom"&gt;
&lt;Document&gt;
	&lt;name&gt;U.E AUREA FREIRE.kml&lt;/name&gt;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&lt;name&gt;U.E AUREA FREIRE&lt;/name&gt;
		&lt;LookAt&gt;
			&lt;longitude&gt;-42.8038376134968&lt;/longitude&gt;
			&lt;latitude&gt;-5.092029991904207&lt;/latitude&gt;
			&lt;altitude&gt;0&lt;/altitude&gt;
			&lt;heading&gt;-10.40910852059143&lt;/heading&gt;
			&lt;tilt&gt;9.877505123439462&lt;/tilt&gt;
			&lt;range&gt;161.6673543613686&lt;/range&gt;
			&lt;gx:altitudeMode&gt;relativeToSeaFloor&lt;/gx:altitudeMode&gt;
		&lt;/LookAt&gt;
		&lt;styleUrl&gt;#m_ylw-pushpin&lt;/styleUrl&gt;
		&lt;Point&gt;
			&lt;gx:drawOrder&gt;1&lt;/gx:drawOrder&gt;
			&lt;coordinates&gt;-42.80383761349681,-5.092029991904207,0&lt;/coordinates&gt;
		&lt;/Point&gt;
		&lt;atom:link rel="app" href="https://www.google.com/earth/about/versions/#earth-pro" title="Google Earth Pro 7.3.7.1155"&gt;&lt;/atom:link&gt;
	&lt;/Placemark&gt;
&lt;/Document&gt;
&lt;/kml&gt;</t>
  </si>
  <si>
    <t>REFORMA DA U E DEP JOAQUIM GOMES CALADO EM TERESINA - PI</t>
  </si>
  <si>
    <t>&lt;?xml version="1.0" encoding="UTF-8"?&gt;
&lt;kml xmlns="http://www.opengis.net/kml/2.2" xmlns:gx="http://www.google.com/kml/ext/2.2" xmlns:kml="http://www.opengis.net/kml/2.2" xmlns:atom="http://www.w3.org/2005/Atom"&gt;
&lt;Document id="1rsITNc960ydwqzdwJd8ivPjmujIT5O8m"&gt;
	&lt;name&gt;Mapa sem título&lt;/name&gt;
	&lt;gx:CascadingStyle kml:id="__managed_style_0473B556483F14139A01_highlight"&gt;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kml:id="__managed_style_0473B556483F14139A01_normal"&gt;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id="__managed_style_0473B556483F14139A01"&gt;
		&lt;Pair&gt;
			&lt;key&gt;normal&lt;/key&gt;
			&lt;styleUrl&gt;#__managed_style_0473B556483F14139A01_normal&lt;/styleUrl&gt;
		&lt;/Pair&gt;
		&lt;Pair&gt;
			&lt;key&gt;highlight&lt;/key&gt;
			&lt;styleUrl&gt;#__managed_style_0473B556483F14139A01_highlight&lt;/styleUrl&gt;
		&lt;/Pair&gt;
	&lt;/StyleMap&gt;
	&lt;Placemark id="0A1C73DD5D3F14222CDE"&gt;
		&lt;gx:mid&gt;/g/11h6dh83bm&lt;/gx:mid&gt;
		&lt;gx:fid&gt;0x78e3b2bf4907f7b:0xc916b546ad549ed&lt;/gx:fid&gt;
		&lt;LookAt&gt;
			&lt;longitude&gt;-42.7521737&lt;/longitude&gt;
			&lt;latitude&gt;-5.0504143&lt;/latitude&gt;
			&lt;altitude&gt;0&lt;/altitude&gt;
			&lt;heading&gt;0&lt;/heading&gt;
			&lt;tilt&gt;0&lt;/tilt&gt;
			&lt;gx:fovy&gt;35&lt;/gx:fovy&gt;
			&lt;range&gt;1051.950596810127&lt;/range&gt;
			&lt;altitudeMode&gt;relativeToGround&lt;/altitudeMode&gt;
		&lt;/LookAt&gt;
		&lt;styleUrl&gt;#__managed_style_0473B556483F14139A01&lt;/styleUrl&gt;
		&lt;Point&gt;
			&lt;altitudeMode&gt;relativeToGround&lt;/altitudeMode&gt;
			&lt;coordinates&gt;-42.7521712,-5.050484,0&lt;/coordinates&gt;
		&lt;/Point&gt;
	&lt;/Placemark&gt;
&lt;/Document&gt;
&lt;/kml&gt;</t>
  </si>
  <si>
    <t>CONSTRUÇÃO DE QUADRA COM VESTIÁRIO NO CEJA PROFESSORA MARIA RODRIGUES DAS MERCEDES EM TERESINA CT 045/2024</t>
  </si>
  <si>
    <t>&lt;?xml version="1.0" encoding="UTF-8"?&gt;
&lt;kml xmlns="http://www.opengis.net/kml/2.2" xmlns:gx="http://www.google.com/kml/ext/2.2" xmlns:kml="http://www.opengis.net/kml/2.2" xmlns:atom="http://www.w3.org/2005/Atom"&gt;
&lt;Document&gt;
	&lt;name&gt;CEJA PROFª MARIA RODRIGUES DAS MERCEDES.kml&lt;/name&gt;
	&lt;StyleMap id="m_ylw-pushpin"&gt;
		&lt;Pair&gt;
			&lt;key&gt;normal&lt;/key&gt;
			&lt;styleUrl&gt;#s_ylw-pushpin&lt;/styleUrl&gt;
		&lt;/Pair&gt;
		&lt;Pair&gt;
			&lt;key&gt;highlight&lt;/key&gt;
			&lt;styleUrl&gt;#s_ylw-pushpin_hl&lt;/styleUrl&gt;
		&lt;/Pair&gt;
	&lt;/StyleMap&gt;
	&lt;Style id="s_ylw-pushpin"&gt;
		&lt;IconStyle&gt;
			&lt;scale&gt;1.1&lt;/scale&gt;
			&lt;Icon&gt;
				&lt;href&gt;http://maps.google.com/mapfiles/kml/pushpin/ylw-pushpin.png&lt;/href&gt;
			&lt;/Icon&gt;
			&lt;hotSpot x="20" y="2" xunits="pixels" yunits="pixels"/&gt;
		&lt;/IconStyle&gt;
	&lt;/Style&gt;
	&lt;Style id="s_ylw-pushpin_hl"&gt;
		&lt;IconStyle&gt;
			&lt;scale&gt;1.3&lt;/scale&gt;
			&lt;Icon&gt;
				&lt;href&gt;http://maps.google.com/mapfiles/kml/pushpin/ylw-pushpin.png&lt;/href&gt;
			&lt;/Icon&gt;
			&lt;hotSpot x="20" y="2" xunits="pixels" yunits="pixels"/&gt;
		&lt;/IconStyle&gt;
	&lt;/Style&gt;
	&lt;Placemark&gt;
		&lt;name&gt;CEJA PROFª MARIA RODRIGUES DAS MERCEDES&lt;/name&gt;
		&lt;LookAt&gt;
			&lt;longitude&gt;-42.8068906018993&lt;/longitude&gt;
			&lt;latitude&gt;-5.103687501491486&lt;/latitude&gt;
			&lt;altitude&gt;0&lt;/altitude&gt;
			&lt;heading&gt;-1.72280548833765e-09&lt;/heading&gt;
			&lt;tilt&gt;44.99999999850853&lt;/tilt&gt;
			&lt;range&gt;1047.096878722724&lt;/range&gt;
			&lt;gx:altitudeMode&gt;relativeToSeaFloor&lt;/gx:altitudeMode&gt;
		&lt;/LookAt&gt;
		&lt;styleUrl&gt;#m_ylw-pushpin&lt;/styleUrl&gt;
		&lt;Point&gt;
			&lt;gx:drawOrder&gt;1&lt;/gx:drawOrder&gt;
			&lt;coordinates&gt;-42.8068906018993,-5.103687501491486,0&lt;/coordinates&gt;
		&lt;/Point&gt;
		&lt;atom:link rel="app" href="https://www.google.com/earth/about/versions/#earth-pro" title="Google Earth Pro 7.3.6.10201"&gt;&lt;/atom:link&gt;
	&lt;/Placemark&gt;
&lt;/Document&gt;
&lt;/kml&gt;</t>
  </si>
  <si>
    <t>TERESINA,DEMERVAL LOBÃO</t>
  </si>
  <si>
    <t>REFORMA, AMPLIAÇÃO E CONSTRUÇÃO DE QUADRA NA U. E. LUCAS MEIRELES EM TERESINA</t>
  </si>
  <si>
    <t>&lt;?xml version="1.0" encoding="UTF-8"?&gt;
&lt;kml xmlns="http://www.opengis.net/kml/2.2" xmlns:gx="http://www.google.com/kml/ext/2.2" xmlns:kml="http://www.opengis.net/kml/2.2" xmlns:atom="http://www.w3.org/2005/Atom"&gt;
&lt;Document&gt;
	&lt;name&gt;QUADRA NA U. E. LUCAS MEIRELES.kml&lt;/name&gt;
	&lt;StyleMap id="m_ylw-pushpin"&gt;
		&lt;Pair&gt;
			&lt;key&gt;normal&lt;/key&gt;
			&lt;styleUrl&gt;#s_ylw-pushpin&lt;/styleUrl&gt;
		&lt;/Pair&gt;
		&lt;Pair&gt;
			&lt;key&gt;highlight&lt;/key&gt;
			&lt;styleUrl&gt;#s_ylw-pushpin_hl&lt;/styleUrl&gt;
		&lt;/Pair&gt;
	&lt;/StyleMap&gt;
	&lt;Style id="s_ylw-pushpin"&gt;
		&lt;IconStyle&gt;
			&lt;scale&gt;1.2&lt;/scale&gt;
			&lt;Icon&gt;
				&lt;href&gt;http://maps.google.com/mapfiles/kml/shapes/ranger_station.png&lt;/href&gt;
			&lt;/Icon&gt;
			&lt;hotSpot x="0.5" y="0" xunits="fraction" yunits="fraction"/&gt;
		&lt;/IconStyle&gt;
		&lt;ListStyle&gt;
		&lt;/ListStyle&gt;
	&lt;/Style&gt;
	&lt;Style id="s_ylw-pushpin_hl"&gt;
		&lt;IconStyle&gt;
			&lt;scale&gt;1.4&lt;/scale&gt;
			&lt;Icon&gt;
				&lt;href&gt;http://maps.google.com/mapfiles/kml/shapes/ranger_station.png&lt;/href&gt;
			&lt;/Icon&gt;
			&lt;hotSpot x="0.5" y="0" xunits="fraction" yunits="fraction"/&gt;
		&lt;/IconStyle&gt;
		&lt;ListStyle&gt;
		&lt;/ListStyle&gt;
	&lt;/Style&gt;
	&lt;Placemark&gt;
		&lt;name&gt;QUADRA NA U. E. LUCAS MEIRELES&lt;/name&gt;
		&lt;Camera&gt;
			&lt;longitude&gt;-42.74391607075471&lt;/longitude&gt;
			&lt;latitude&gt;-5.300346871526989&lt;/latitude&gt;
			&lt;altitude&gt;218.3002485408596&lt;/altitude&gt;
			&lt;heading&gt;40.34416975272902&lt;/heading&gt;
			&lt;tilt&gt;0.05816038044751164&lt;/tilt&gt;
			&lt;roll&gt;-89.75825847788772&lt;/roll&gt;
			&lt;gx:altitudeMode&gt;relativeToSeaFloor&lt;/gx:altitudeMode&gt;
		&lt;/Camera&gt;
		&lt;styleUrl&gt;#m_ylw-pushpin&lt;/styleUrl&gt;
		&lt;Point&gt;
			&lt;gx:drawOrder&gt;1&lt;/gx:drawOrder&gt;
			&lt;coordinates&gt;-42.74366636942917,-5.300005585610806,0&lt;/coordinates&gt;
		&lt;/Point&gt;
		&lt;atom:link rel="app" href="https://www.google.com/earth/about/versions/#earth-pro" title="Google Earth Pro 7.3.7.1155"&gt;&lt;/atom:link&gt;
	&lt;/Placemark&gt;
&lt;/Document&gt;
&lt;/kml&gt;</t>
  </si>
  <si>
    <t>REFORMA E AMPLIAÇÃO DA U. E. MARCOS RODRIGUES COELHO EM TERESINA</t>
  </si>
  <si>
    <t>&lt;?xml version="1.0" encoding="UTF-8"?&gt;
&lt;kml xmlns="http://www.opengis.net/kml/2.2" xmlns:gx="http://www.google.com/kml/ext/2.2" xmlns:kml="http://www.opengis.net/kml/2.2" xmlns:atom="http://www.w3.org/2005/Atom"&gt;
&lt;Document id="document"&gt;
	&lt;name&gt;Mapa sem título&lt;/name&gt;
	&lt;gx:CascadingStyle kml:id="__managed_style_0D6D99A2273F139FAB54_highlight"&gt;
		&lt;Style&gt;
			&lt;IconStyle&gt;
				&lt;scale&gt;1.2&lt;/scale&gt;
				&lt;Icon&gt;
					&lt;href&gt;https://earth.google.com/earth/document/icon?color=fbc02d&amp;amp;id=2000&amp;amp;scale=4&lt;/href&gt;
				&lt;/Icon&gt;
				&lt;hotSpot x="64" y="128" xunits="pixels" yunits="insetPixels"/&gt;
			&lt;/IconStyle&gt;
			&lt;LabelStyle&gt;
			&lt;/LabelStyle&gt;
			&lt;LineStyle&gt;
				&lt;color&gt;ff2dc0fb&lt;/color&gt;
				&lt;width&gt;6&lt;/width&gt;
			&lt;/LineStyle&gt;
			&lt;PolyStyle&gt;
				&lt;color&gt;40ffffff&lt;/color&gt;
			&lt;/PolyStyle&gt;
			&lt;BalloonStyle&gt;
				&lt;gx:displayMode&gt;card&lt;/gx:displayMode&gt;
			&lt;/BalloonStyle&gt;
		&lt;/Style&gt;
	&lt;/gx:CascadingStyle&gt;
	&lt;gx:CascadingStyle kml:id="__managed_style_0D6D99A2273F139FAB54_normal"&gt;
		&lt;Style&gt;
			&lt;IconStyle&gt;
				&lt;Icon&gt;
					&lt;href&gt;https://earth.google.com/earth/document/icon?color=fbc02d&amp;amp;id=2000&amp;amp;scale=4&lt;/href&gt;
				&lt;/Icon&gt;
				&lt;hotSpot x="64" y="128" xunits="pixels" yunits="insetPixels"/&gt;
			&lt;/IconStyle&gt;
			&lt;LabelStyle&gt;
			&lt;/LabelStyle&gt;
			&lt;LineStyle&gt;
				&lt;color&gt;ff2dc0fb&lt;/color&gt;
				&lt;width&gt;4&lt;/width&gt;
			&lt;/LineStyle&gt;
			&lt;PolyStyle&gt;
				&lt;color&gt;40ffffff&lt;/color&gt;
			&lt;/PolyStyle&gt;
			&lt;BalloonStyle&gt;
				&lt;gx:displayMode&gt;card&lt;/gx:displayMode&gt;
			&lt;/BalloonStyle&gt;
		&lt;/Style&gt;
	&lt;/gx:CascadingStyle&gt;
	&lt;StyleMap id="__managed_style_0D6D99A2273F139FAB54"&gt;
		&lt;Pair&gt;
			&lt;key&gt;normal&lt;/key&gt;
			&lt;styleUrl&gt;#__managed_style_0D6D99A2273F139FAB54_normal&lt;/styleUrl&gt;
		&lt;/Pair&gt;
		&lt;Pair&gt;
			&lt;key&gt;highlight&lt;/key&gt;
			&lt;styleUrl&gt;#__managed_style_0D6D99A2273F139FAB54_highlight&lt;/styleUrl&gt;
		&lt;/Pair&gt;
	&lt;/StyleMap&gt;
	&lt;Placemark id="013C5EC15D3F139FAB44"&gt;
		&lt;gx:mid&gt;/g/11rgqwws0c&lt;/gx:mid&gt;
		&lt;gx:fid&gt;0x78e2384fcc289ef:0xe82709e3387b53f&lt;/gx:fid&gt;
		&lt;LookAt&gt;
			&lt;longitude&gt;-42.69640270000001&lt;/longitude&gt;
			&lt;latitude&gt;-4.975256499999999&lt;/latitude&gt;
			&lt;altitude&gt;0&lt;/altitude&gt;
			&lt;heading&gt;0&lt;/heading&gt;
			&lt;tilt&gt;0&lt;/tilt&gt;
			&lt;gx:fovy&gt;35&lt;/gx:fovy&gt;
			&lt;range&gt;1052.086103854608&lt;/range&gt;
			&lt;altitudeMode&gt;relativeToGround&lt;/altitudeMode&gt;
		&lt;/LookAt&gt;
		&lt;styleUrl&gt;#__managed_style_0D6D99A2273F139FAB54&lt;/styleUrl&gt;
		&lt;Point&gt;
			&lt;altitudeMode&gt;relativeToGround&lt;/altitudeMode&gt;
			&lt;coordinates&gt;-42.6963804,-4.9752601,0&lt;/coordinates&gt;
		&lt;/Point&gt;
	&lt;/Placemark&gt;
&lt;/Document&gt;
&lt;/kml&gt;</t>
  </si>
  <si>
    <t>Status</t>
  </si>
  <si>
    <t>Celebracão</t>
  </si>
  <si>
    <t>Em desenvolvimento</t>
  </si>
  <si>
    <t>EXECUÇÃO DE PAVIMENTAÇÃO EM PARALELEPÍPEDO NO BAIRRO ANGELIN, LOCALIDADE SANTA TERESA E NA LOCALIDADE POLO SUL INDUSTRIAL, NO MUNICÍPIO DE TERESINA – PI, EXTENSÃO 7.296,00 M²</t>
  </si>
  <si>
    <t>OPA ID 404 (2024/2025) - CONSTRUÇÃO DE BIBLIOTECA NO BAIRRO BUENOS AIRES, TERESINA - PI</t>
  </si>
  <si>
    <t>OPA - ID 394 - CONTRATAÇÃO DE EMPRESA DE ENGENHARIA PARA CONSTRUÇÃO DA BIBLIOTECA DO ESPLANADA (2023-2024)</t>
  </si>
  <si>
    <t>TERESINA,JOSÉ DE FREITAS,UNIÃO,ALTOS,DEMERVAL LOBÃO</t>
  </si>
  <si>
    <t>Sem evolução</t>
  </si>
  <si>
    <t>CONSTRUÇÃO DE INFRAESTRUTURA DE 42 TORRES PARA RÁDIO COMUNICAÇÃO NO ESTADO DO PIAUÍ LOTE 1</t>
  </si>
  <si>
    <t>Planalto Ininga, Dirceu II, São Joaquim, Ilhotas</t>
  </si>
  <si>
    <t>Leste, Sudeste, Norte, Centro</t>
  </si>
  <si>
    <t>CONSTRUÇÃO DE ACADEMIA POPULAR NO MUNICÍPIO DE TERESINA - PI (OPA - ORÇAMENTO PARTICIPATIVO 2023)</t>
  </si>
  <si>
    <t>REFORMA E RECUPERAÇÃO DE CAMPOS DE FUTEBOL NO MUNICÍPIO DE TERESINA - PI (OPA - ORÇAMENTO PARTICIPATIVO)</t>
  </si>
  <si>
    <t>REFORMA DA QUADRA ESPORTIVA NO BAIRRO GURUPI NO MUNICÍPIO DE TERESINA</t>
  </si>
  <si>
    <t>EXECUÇÃO DE PAVIMENTAÇÃO POLIÉDRICA E RECUPERAÇÃO DE RUAS NA SEDE DA SAF NO MUNICÍPIO DE TERESINA.</t>
  </si>
  <si>
    <t>PAVIMENTAÇÃO EM PARALELEPÍPEDO NO MUNICIPIO DE TERESINA – PI,5.016,00 M²</t>
  </si>
  <si>
    <t>BAIRRO SANTA BÁRBARA</t>
  </si>
  <si>
    <t>SETRE</t>
  </si>
  <si>
    <t>REFORMA DA SEDE DA SECRETARIA DE ESTADO DO TRABALHO E EMPREGO - SETRE</t>
  </si>
  <si>
    <t xml:space="preserve">VERMELHA </t>
  </si>
  <si>
    <t xml:space="preserve">ZONA SUL </t>
  </si>
  <si>
    <t>OPA Nº 0821 - CONSTRUÇÃO DO POLO ARTESANAL DO BAIRRO PIÇARREIRA I - TERESINA PI</t>
  </si>
  <si>
    <t>OPA Nº 0114 - REFORMA DO POLO ARTESANAL DO BAIRRO BOM PRINCÍPIO - REGIÃO "DEUS QUER" TERESINA PI</t>
  </si>
  <si>
    <t>REFORMA DO GINÁSIO POLIESPORTIVO PETRÔNIO SOUSA VASCONCELOS, LOCALIZADO NA RUA SEIS, RESIDENCIAL MARIA LUIZA PARENTE, 20 - LOURIVAL PARENTE, TERESINA - PI. TOTALIZANDO 4.500,00 M²</t>
  </si>
  <si>
    <t>EXECUÇÃO DE PAVIMENTAÇÃO EM PARALELEPÍPEDO EM TERESINA (PI) COM ÁREA DE 5041,50 M².</t>
  </si>
  <si>
    <t>SATÉLITE, ESPLANADA, SANTA MARIA</t>
  </si>
  <si>
    <t>LESTE, SUL, NORTE</t>
  </si>
  <si>
    <t>OPA ID 1244 (2024/2025) - REFORMA DE VIDEOTECA EM BAIRRO MATADOURO, TERESINA - PI</t>
  </si>
  <si>
    <t>CONSTRUÇÃO DO CETI GERVÁSIO COSTA E DA QUADRA DO CETI DARCY ARAÚJO EM TERESINA- CT 079/2025 (LOTE 02)</t>
  </si>
  <si>
    <t>Pedra Mole, Promorar</t>
  </si>
  <si>
    <t>Leste, Sul</t>
  </si>
  <si>
    <t>PAVIMENTAÇÃO EM PARALELEPÍPEDO DE 4.734,00 M² DE VIAS PÚBLICAS NO MUNICÍPIO DE TERESINA- PI CONTRATO 04/2026</t>
  </si>
  <si>
    <t>PARQUE BRASIL, USINA SANTANA., VALE DO GAVIÃO</t>
  </si>
  <si>
    <t>NORTE, LESTE E SUDESTE</t>
  </si>
  <si>
    <t>OPA ID 377 (2024/2025) - CONSTRUÇÃO DE BIBLIOTECA NO BAIRRO SANTA MARIA, EM TERESINA - PI</t>
  </si>
  <si>
    <t>PAVIMENTAÇÃO EM PARALELEPIPEDO MUNICIPIO DE TERESINA - PI (11.675,14 M²).</t>
  </si>
  <si>
    <t>PAVIMENTAÇÃO EM PARALELEPÍPEDO COM ÁREA TOTAL DE 6.120M² NA ZONA URBANA E RURAL DO MUNICÍPIO DE TERESINA - PI. CONTRATO 46/2026</t>
  </si>
  <si>
    <t>Povoado Campestre Norte e Cidade Industrial</t>
  </si>
  <si>
    <t>Rural e Norte</t>
  </si>
  <si>
    <t>PAVIMENTAÇÃO EM PARALELEPÍPEDO DE 8.777,00M² DE RUAS NO MUNICÍPIO DE TERESINA- PI</t>
  </si>
  <si>
    <t>Angelim</t>
  </si>
  <si>
    <t>PAVIMENTAÇÃO EM PARALELEPIPEDO NO ASSENTAMENTO EL SHADAY, ZONA RURAL DO MUNICIPIO DE TERESINA-PI, COM ÁREA TOTAL DE 5.615,56 M². CONT. Nº 75/2025 - FRANCA. (OPA)</t>
  </si>
  <si>
    <t>EXECUÇÃO DOS SERVIÇOS DE RECUPERAÇÃO DE 31,64KM DE ESTRADAS VICINAIS NO MUNICÍPIO DE TERESINA</t>
  </si>
  <si>
    <t>TRECHO I- TER -ENTRONC. PI 113 - LOC. MORRO DO PAPAGAIO; TRECHO II - ESTRADA DE LIGAÇÃO - ENTRONC. PI 113/ LOC. CANCELA; TRECHO III - LOTEAMENTO AMPARO; TRECHO IV – TER - ENTRONC. PI 113/ LOC. LAGOA DE DENTRO; TRECHO V - LOTEAMENTO CAJAÍBA; TRECHO VI - ESTRADA DE LIGAÇÃO - LOC. SÃO JOSÉ DO SALÚ / LOC. TAMBORIL; TRECHO VII- LOCALIDADE GANDÚ e TRECHO VIII – LOCALIDADE GASPAR</t>
  </si>
  <si>
    <t>Rural</t>
  </si>
  <si>
    <t>OPA - ID - 403 - REFORMA DE POLO ARTESANAL NO BAIRRO MONTE ALEGRE (2023-2024)</t>
  </si>
  <si>
    <t xml:space="preserve">MONTE ALEGRE </t>
  </si>
  <si>
    <t>CONSTRUÇÃO DE UM CAMPO DE FUTEBOL E A INSTALAÇÃO DE UM SISTEMA DE IRRIGAÇÃO NO LOCAL, SITUADO NA ÁREA DO PARQUE VITÓRIA, NO MUNICÍPIO DE TERESINA-PI,</t>
  </si>
  <si>
    <t>PARQUE VITÓRIA, ANGELIM</t>
  </si>
  <si>
    <t>REFORMA E AMPLIAÇÃO DO INST. DE CRIMINALÍSTICA PARA IMPLANTAÇÃO DA CENTRAL DA CADEIA DE CUSTÓDIA DE VESTÍGIOS</t>
  </si>
  <si>
    <t>SACI</t>
  </si>
  <si>
    <t>PAVIMENTAÇÃO EM PARALELEPÍPEDO DE 4.248,00 M² DE RUAS NO MUNICÍPIO DE TERESINA- PI CONTRATO 15/2026</t>
  </si>
  <si>
    <t>REFORMA E AMPLIAÇÃO DA BIBLIOTECA NO CAMPUS CLÓVIS MOURA DA UESPI NO MUNICÍPIO DE TERESINA</t>
  </si>
  <si>
    <t xml:space="preserve">ITARARÉ </t>
  </si>
  <si>
    <t>ZONA SUDESTE</t>
  </si>
  <si>
    <t>PAVIMENTAÇÃO EM PARALELEPÍPEDO MUNICÍPIO: TERESINA – SACI, PARQUE VITORIA E LADEIRA DO URUGUAI ÁREA DE PAVIMENTAÇÃO: 5.687,00 M²</t>
  </si>
  <si>
    <t>SACI, PARQUE VITORIA, URUGUAI</t>
  </si>
  <si>
    <t>SUL, LESTE</t>
  </si>
  <si>
    <t>REFORMA DO PRÉDIO E COBERTURA DA QUADRA NA U. E. JOEL RIBEIRO EM TERESINA CT 169/2024</t>
  </si>
  <si>
    <t xml:space="preserve">MATADOURO </t>
  </si>
  <si>
    <t>PAVIMENTAÇÃO EM PARALELEPÍPEDO DE 6.408,00M² DE RUAS NO MUNICÍPIO DE TERESINA – PI</t>
  </si>
  <si>
    <t>URUGUAI, SANTO ANTÔNIO, CIDADE NOVA</t>
  </si>
  <si>
    <t>LESTE, SUL</t>
  </si>
  <si>
    <t>TERESINA,JOSÉ DE FREITAS,UNIÃO,ALTOS,AMARANTE,MIGUEL ALVES,ALTO LONGÁ,REGENERAÇÃO,MONSENHOR GIL,PALMEIRAIS,ÁGUA BRANCA,SÃO PEDRO DO PIAUÍ,NAZÁRIA,COIVARAS,CURRALINHOS,JARDIM DO MULATO,AGRICOLÂNDIA,ANGICAL DO PIAUÍ,BARRO DURO,BENEDITINOS,DEMERVAL LOBÃO,HUGO NAPOLEÃO,LAGOA ALEGRE,LAGOA DO PIAUÍ,LAGOINHA DO PIAUÍ,MIGUEL LEÃO,OLHO D'ÁGUA DO PIAUÍ,PASSAGEM FRANCA DO PIAUÍ,PAU D'ARCO DO PIAUÍ,SANTO ANTÔNIO DOS MILAGRES,SÃO GONÇALO DO PIAUÍ</t>
  </si>
  <si>
    <t>EXECUÇÃO DE PAVIMENTAÇÃO 1.206.000M² ASFÁLTICA EM DIVERSAS VIAS DOS MUNICIPIOS LOCALIZADOS NO TERRITÓRIO DE DESENVOLVIMENTO ENTRE RIOS-PI CONTRATO 107/2024</t>
  </si>
  <si>
    <t>CONSTRUÇÃO DE CAMPO DE FUTEBOL SOCIETY NO BAIRRO CIDADE JARDIM NO MUNICIPIO DE TERESINA - PI</t>
  </si>
  <si>
    <t xml:space="preserve">CIDADE JARDIM </t>
  </si>
  <si>
    <t>EXECUÇÃO DE PAVIMENTAÇÃO EM PARALELEPÍPEDO, NO MUNICÍPIO DE TERESINA-PI. TOTALIZANDO 27.267,80 M²</t>
  </si>
  <si>
    <t>VILA NOVA CONQUISTA, PORTAL DA ALEGRIA, POV. SANTA TERESA, LOTEAMENTO SANTANA, PLANALTO BELA VISTA, ESPLANADA, TORQUATO NETO, LOTEAMENTO ORGMAR MONTEIRO - VALE QUEM TEM, PARQUE AFONSO GIL, POV. CENTRO LUZ - ANAJÁS, ASSENTAMENTO NOSSA SENHORA DA PAZ - SOCOPO</t>
  </si>
  <si>
    <t>LESTE, NORTE, SUL, RURAL</t>
  </si>
  <si>
    <t>CONSTRUÇÃO DE DOIS BLOCOS DE SALAS NO CAMPUS CLÓVIS MOURA DA UESPI NO MUNICÍPIO DE TERESINA</t>
  </si>
  <si>
    <t>PAVIMENTAÇÃO EM PARALELEPÍPEDO DE 12.570,10 M² DE RUAS NO MUNICÍPIO DE TERESINA- PI. CONTRATO 97/2025</t>
  </si>
  <si>
    <t xml:space="preserve">Pedra Mole, Bela Vista, Santa Luzia e Teresina Sul </t>
  </si>
  <si>
    <t xml:space="preserve">Rural, Leste e Sul </t>
  </si>
  <si>
    <t>PNAB - REFORMA E MODERNIZAÇÃO DA BIBLIOTECA ESTADUAL DESEMBARGADOR CROMWELL DE CARVALHO</t>
  </si>
  <si>
    <t>DETRAN</t>
  </si>
  <si>
    <t>SINALIZAÇÃO VERTICAL, HORINZONTAL E SEMAFÓRICA</t>
  </si>
  <si>
    <t>NÃO É TERESINA</t>
  </si>
  <si>
    <t>PAVIMENTAÇÃO EM PARALELEPÍPEDO DE 9.484,00 M² DE RUAS NO MUNICÍPIO DE TERESINA- PI</t>
  </si>
  <si>
    <t>CHAPADINHA SUL, SACI, POVOADO SALOBRO, BELA VISTA, POVOADO ALTO BONITO, PEDRA MOLE</t>
  </si>
  <si>
    <t>RURAL, SUL e Leste</t>
  </si>
  <si>
    <t>PGE</t>
  </si>
  <si>
    <t>CONSTRUÇÃO DA NOVA SEDE DA PROCURADORIA GERAL DO ESTADO DO PIAUÍ - PGE/PI - 2º CONTRATO</t>
  </si>
  <si>
    <t>CONSTRUÇÃO E RECUPERAÇÃO DE QUADRAS DE ESPORTES EM TERESINA - PI (OPA - ORÇAMENTO PARTICIPATIVO)</t>
  </si>
  <si>
    <t>PARQUE ALVORADA, SÃO PEDRO, COMUNIDADE MATA VELHA, PARQUE ANITA FERRAZ, POVOADO MUCUIM, ILHOTAS</t>
  </si>
  <si>
    <t>CENTRO/SUL, NORTE, ZONA RURA</t>
  </si>
  <si>
    <t>CONSTRUÇÃO DO CENTRO PLURAL DE ATIVIDADES DA JUVENTUDE NO MUNICÍPIO DE TERESINA-PI. CONT. Nº 11/2025 - LAURITA</t>
  </si>
  <si>
    <t>OPA - EXECUÇÃO DE SERVIÇOS DE PAVIMENTAÇÃO ASFÁLTICA EM CBUQ DE 80.868,00 M² - TERESINA- PI ID: 11, 15, 17, 430, 649, 765, 822, 894, 905, 923</t>
  </si>
  <si>
    <t xml:space="preserve">PARQ.
JACINTA - ASSOC.
DOS IDOSOS DO
BAIRRO SANTA
CLARA E
ADJACENCIAS; BRASILAR –
ASSOC. DE
MORADORES DO
BAIRRO SANTA
CLARA;  SANTA
CRUZ - ASSOC. DE
IDOSOS E
JOVENS DO
BAIRRO SANTA
CRUZ; ASSOC. DE
MORAD. DO RESID.
HUGO PRADO; PORTAL DA
ALEGRIA –
ASSOCIACAO
COMUNITARIA DO
RESIDENCIAL
TORQUATO NETO; TABAJARAS
- ASSOC. COMUN.
DOS MORAD. DA
VILA SANTA
VITORIA; TABAJARAS
- ASSOC. COMUN.
DOS MORAD. DA
VILA MEIO NORTE I
E IIACOVIMEN; PORTAL DA
ALEGRIA - CASA
DE AXE RAIZ DE
OGUM; 
ANGELIM -
ASSOCIACAO DE
MORADORES DO
RESIDENCIAL
HERBERT DE
SOUSA; 
PEDRA
MOLE - CLUBE DE
MAES E AMIGAS
DO BAIRRO PEDRA
MOLE
</t>
  </si>
  <si>
    <t>Leste e Sul</t>
  </si>
  <si>
    <t>SEPLAN</t>
  </si>
  <si>
    <t>CONTRATAÇÃO DE EMPRESA DE ENGENHARIA CIVIL PARA EXECUÇÃO DE OBRAS E SERVIÇOS DE REFORMA DA NOVA SEDE DA SECRETARIA DE ESTADO DO PLANEJAMENTO DO PIAUÍ (SEPLAN/PI).</t>
  </si>
  <si>
    <t>CENTRO/SUL</t>
  </si>
  <si>
    <t>CONSTRUÇÃO DO BATALHÃO ESPECIAL DE POLICIAMENTO DO INTERIOR(BEPI) EM TERESINA</t>
  </si>
  <si>
    <t>Parque de Exposições Dirceu Arcoverde (BR-343)</t>
  </si>
  <si>
    <t>SIA</t>
  </si>
  <si>
    <t>REFORMA DA SEDE DA SIA E OUTRAS SECRETARIAS</t>
  </si>
  <si>
    <t>SÃO PEDRO, NOIVOS</t>
  </si>
  <si>
    <t>OPA - EXECUÇÃO DE SERVIÇOS DE PAVIMENTAÇÃO ASFÁLTICA EM CBUQ- TERESINA – PI - ZONA URBANA PROPOSTAS ID: 428, 524, 558,675 E 1069</t>
  </si>
  <si>
    <t>Vale quem tem, Bela Vista, Parque universitário, Vamos ver o sol, Mirante dos Morros</t>
  </si>
  <si>
    <t>LESTE e Sul</t>
  </si>
  <si>
    <t>EXECUÇÃO DOS SERVIÇOS DE IMPLANTAÇÃO E PAVIMENTAÇÃO ASFÁLTICA EM CONCRETO BETUMINOSO USINADO A QUENTE DA AVENIDA DE INTERLIGAÇÃO ENTRE A AV. HENRY WALL DE CARVALHO E O ACESSO LATERAL DA NOVA CEASA PIAUÍ, NO BAIRRO
 PARQUE SÃO JOÃO, COM EXTENSÃO 360 M</t>
  </si>
  <si>
    <t>REFORMA DE PRÉDIO PÚBLICO NO MUNICÍPIO DE TERESINA PARA FUNCIONAMENTO DA VICE GOVERNADORIA DO ESTADO DO PIAUÍ</t>
  </si>
  <si>
    <t>Centro</t>
  </si>
  <si>
    <t>AMPLIAÇÃO DA LINHA METROVIARIA E ESTAÇÃO DE PASSAGEIROS PARA O BAIRRO TODOS OS SANTOS NO MUNICÍPIO DE TERESINA PI</t>
  </si>
  <si>
    <t>TODOS OS SANTOS</t>
  </si>
  <si>
    <t>REFORMA TECH PARK</t>
  </si>
  <si>
    <t>MATINHA</t>
  </si>
  <si>
    <t>TERESINA,PICOS,PEDRO II,SIGEFREDO PACHECO,CAPITÃO DE CAMPOS,LAGOA DO SÍTIO,SUSSUAPARA,MORRO CABEÇA NO TEMPO</t>
  </si>
  <si>
    <t>PAVIMENTAÇÃO EM PARALELEPIPEDO DE VIAS PUBLICAS NAS CIDADES DE SIGEFREDO PACHECO, CAPITÃO DE CAMPOS, MORRO CABEÇA DO TEMPO, SUSSUAPARA, LAGOA DO SÍTIO, PEDRO II, TERESINA E PICOS-PI, COM ÁREA TOTAL DE 60.674,79 M².</t>
  </si>
  <si>
    <t>Cidade Nova, Porto do Centro</t>
  </si>
  <si>
    <t>Sul, Leste</t>
  </si>
  <si>
    <t>CONSTRUÇÃO DA SEDE DO DEPARTAMENTO DE REPRESSÃO ÀS AÇÕES CRIMINOSAS ORGANIZADAS - DRACO, EM TERESINA-PI</t>
  </si>
  <si>
    <t>PAVIMENTAÇÃO DE 100.750,00 M² EM PARALELEPÍPEDO NO MUNICIPIO DE TERESINA - PI</t>
  </si>
  <si>
    <t xml:space="preserve">VILA SANTA
VITÓRIA, VILA DO AVIÃO, VILA BOA ESPERANÇA, SANTA MARIA DA CODIPI, POVOADO ESTACA 0, POVOADO JERICO, LOT. SANTA TEREZINHA, LOT. PARQUE BUMERANGUE, PARQUE BOM FUTURO, VILA NOVA ESPERANÇA, TODOS OS SANTOS, LOT. PAULO CARNEIRO, PROMORAR, PARQUE VITORIA, VILA IRMÃ DULCE, LOURIVAL PARENTE, BETINHO, PARQUE JACINTA, VILA VITORIA LESTE 02, SANTA TERESA, CIDADE NOVA E VILA NOVA ESPERANÇA
</t>
  </si>
  <si>
    <t>LESTE, NORTE, SUL, SUDESTE e RURAL</t>
  </si>
  <si>
    <t>EXECUÇÃO DA OBRA DE CONSTRUÇÃO DE 06 BLOCOS DE SALAS DE AULA NO CAMPUS POETA TORQUATO NETO DA UNIVERSIDADE ESTADUAL DO PIAUÍ (UESPI) NO MUNICIPIO DE TERESINA - PI</t>
  </si>
  <si>
    <t>REVITALIZAÇÃO E MODERNIZAÇÃO DO METRÔ DE TERESINA CONTRATO 01/2024</t>
  </si>
  <si>
    <t>Centro, Cabral, Ilhotas, Livramento, São João, Renascença, Parque Ideal e Dirceu</t>
  </si>
  <si>
    <t>Centro (sul) e sudeste</t>
  </si>
  <si>
    <t>TERESINA,CAMPO MAIOR,ALTO LONGÁ,SÃO MIGUEL DO TAPUIO,CAPITÃO DE CAMPOS</t>
  </si>
  <si>
    <t>REFORMA E AMPLIAÇÃO DE ESCOLAS DA REDE ESTADUAL DE ENSINO CT 023/2025 - LOTE 04</t>
  </si>
  <si>
    <t>Bairro Centro</t>
  </si>
  <si>
    <t>Centro Norte</t>
  </si>
  <si>
    <t>OPA - EXECUÇÃO DE SERVIÇOS DE PAVIMENTAÇÃO EM PARALELEPÍPEDO DE 3.227,50M² - TERESINA- PI ID: 104</t>
  </si>
  <si>
    <t xml:space="preserve">Vale Quem Tem </t>
  </si>
  <si>
    <t>Leste</t>
  </si>
  <si>
    <t>REFORMA E AMPLIAÇÃO DA U. E. ENGENHEIRO SAMPAIO EM TERESINA PI CT 118/2024</t>
  </si>
  <si>
    <t>PAVIMENTAÇÃO EM PARALELEPÍPEDO DE 5.538,00 M² DE VIA PÚBLICA NO MUNICÍPIO DE TERESINA- PI CONTRATO 52/2025</t>
  </si>
  <si>
    <t xml:space="preserve">CIDADE INDUSTRIAL </t>
  </si>
  <si>
    <t>Nº Instrumento</t>
  </si>
  <si>
    <t>Órgão Concedente</t>
  </si>
  <si>
    <t>Sit. Contratação</t>
  </si>
  <si>
    <t>Link Externo</t>
  </si>
  <si>
    <t>Valor Global</t>
  </si>
  <si>
    <t>Valor de Repasse</t>
  </si>
  <si>
    <t>Valor de Contrapartida</t>
  </si>
  <si>
    <t>Valor Desembolsado Acumulado</t>
  </si>
  <si>
    <t>Objeto</t>
  </si>
  <si>
    <t>Municípios</t>
  </si>
  <si>
    <t>Nome Proponente</t>
  </si>
  <si>
    <t>Situação Instrumento</t>
  </si>
  <si>
    <t>Motivo Suspensão</t>
  </si>
  <si>
    <t>Data Início de Vigência Conv.</t>
  </si>
  <si>
    <t>Data Fim de Vigência Conv.</t>
  </si>
  <si>
    <t>Data Limite Suspensiva</t>
  </si>
  <si>
    <t>Modalidade</t>
  </si>
  <si>
    <t>Nº Licitação</t>
  </si>
  <si>
    <t>Processo de Execução</t>
  </si>
  <si>
    <t>Tipo Licitação</t>
  </si>
  <si>
    <t>Nº Processo Execução</t>
  </si>
  <si>
    <t>Data Publicação Edital</t>
  </si>
  <si>
    <t>Data Abertura Licitação</t>
  </si>
  <si>
    <t>Data de Homologação</t>
  </si>
  <si>
    <t>Assinatura Contrato</t>
  </si>
  <si>
    <t>Total em Movimentações Financeiras</t>
  </si>
  <si>
    <t>Saldo em conta</t>
  </si>
  <si>
    <t>Resultado Primário</t>
  </si>
  <si>
    <t>Territórios</t>
  </si>
  <si>
    <t>Valor à liberar</t>
  </si>
  <si>
    <t>Nome Parlamentar</t>
  </si>
  <si>
    <t>Execução Financeira do Concedente</t>
  </si>
  <si>
    <t>Fim da vigência até 120 dias</t>
  </si>
  <si>
    <t>Prioridade de Monitoramento</t>
  </si>
  <si>
    <t>A desembolsar</t>
  </si>
  <si>
    <t>BAIRRO</t>
  </si>
  <si>
    <t>ZONA</t>
  </si>
  <si>
    <t>MINISTERIO DOS DIREITOS HUMANOS E CIDADANIA</t>
  </si>
  <si>
    <t>Normal</t>
  </si>
  <si>
    <r>
      <rPr>
        <u/>
        <sz val="11"/>
        <color rgb="FF1155CC"/>
        <rFont val="Calibri"/>
        <charset val="134"/>
      </rPr>
      <t>https://discricionarias.transferegov.sistema.gov.br/voluntarias/ConsultarProposta/ResultadoDaConsultaDePropostaDetalharProposta.do?idProposta=1899654&amp;Usr=guest&amp;Pwd=guest</t>
    </r>
  </si>
  <si>
    <t>Estruturar as instalações físicas das unidades socioeducativas de internaçãomasculina – CEM e feminina - CEF do Estado do Piauí, por meio da aquisição deequipamentos essenciais à prestação de serviços e garantia de direitos de adolescentes ejovens em cumprimento de medidas socioeducativas.</t>
  </si>
  <si>
    <t>SECRETARIA DA ASSISTENCIA SOCIAL, TRABALHO E DIREITOS HUMANOS</t>
  </si>
  <si>
    <t>Em execução</t>
  </si>
  <si>
    <t>-</t>
  </si>
  <si>
    <t>CONVENIO</t>
  </si>
  <si>
    <t>Licitação</t>
  </si>
  <si>
    <t>Eletrônico</t>
  </si>
  <si>
    <t>00024.001272/2024-34</t>
  </si>
  <si>
    <t>13.211,70</t>
  </si>
  <si>
    <t>ENTRE RIOS</t>
  </si>
  <si>
    <t>11.038,59</t>
  </si>
  <si>
    <t>F3</t>
  </si>
  <si>
    <t>MEMORARE, BELA VISTA</t>
  </si>
  <si>
    <t>NORTE, SUL</t>
  </si>
  <si>
    <t>MINISTÉRIO DAS MULHERES</t>
  </si>
  <si>
    <r>
      <rPr>
        <u/>
        <sz val="11"/>
        <color rgb="FF1155CC"/>
        <rFont val="Calibri"/>
        <charset val="134"/>
      </rPr>
      <t>https://discricionarias.transferegov.sistema.gov.br/voluntarias/ConsultarProposta/ResultadoDaConsultaDePropostaDetalharProposta.do?idProposta=1932288&amp;Usr=guest&amp;Pwd=guest</t>
    </r>
  </si>
  <si>
    <t>Contratação de consultoria para realizar formação em gênero para atender as necessidades da Secretaria das Mulheres do Piauí e aquisição de material de informática para modernização da Secretaria de Mulheres do Piauí.</t>
  </si>
  <si>
    <t>SECRETARIA DAS MULHERES</t>
  </si>
  <si>
    <t>29.841,89</t>
  </si>
  <si>
    <t>25.153,18</t>
  </si>
  <si>
    <t>MINISTERIO DAS CIDADES</t>
  </si>
  <si>
    <r>
      <rPr>
        <u/>
        <sz val="11"/>
        <color rgb="FF1155CC"/>
        <rFont val="Calibri"/>
        <charset val="134"/>
      </rPr>
      <t>https://discricionarias.transferegov.sistema.gov.br/voluntarias/ConsultarProposta/ResultadoDaConsultaDePropostaDetalharProposta.do?idProposta=1905300&amp;Usr=guest&amp;Pwd=guest</t>
    </r>
  </si>
  <si>
    <t>PAVIMENTAÇÃO EM PARALELEPÍPEDO EM VIAS PUBLICAS DO MUNICÍPIO DE TERESINA - PI.</t>
  </si>
  <si>
    <t>INSTITUTO DE DESENVOLVIMENTO DO PIAUI - IDEPI</t>
  </si>
  <si>
    <t>CONTRATO DE REPASSE</t>
  </si>
  <si>
    <t>Concorrência Eletrônica N°003</t>
  </si>
  <si>
    <t>Menor Preço</t>
  </si>
  <si>
    <t>619.067,50</t>
  </si>
  <si>
    <t>53.649,68</t>
  </si>
  <si>
    <t>25.197,00</t>
  </si>
  <si>
    <r>
      <rPr>
        <u/>
        <sz val="11"/>
        <color rgb="FF1155CC"/>
        <rFont val="Calibri"/>
        <charset val="134"/>
      </rPr>
      <t>https://discricionarias.transferegov.sistema.gov.br/voluntarias/ConsultarProposta/ResultadoDaConsultaDePropostaDetalharProposta.do?idProposta=1908081&amp;Usr=guest&amp;Pwd=guest</t>
    </r>
  </si>
  <si>
    <t>Prestação de Contas Aprovada</t>
  </si>
  <si>
    <t>Concorrência n° 009/2024</t>
  </si>
  <si>
    <t>211.650,00</t>
  </si>
  <si>
    <t>15.000,00</t>
  </si>
  <si>
    <t>CAMPESTRE</t>
  </si>
  <si>
    <t>MINISTÉRIO DA INTEGRAÇÃO E DO DESENVOLVIMENTO REGIONAL</t>
  </si>
  <si>
    <r>
      <rPr>
        <u/>
        <sz val="11"/>
        <color rgb="FF1155CC"/>
        <rFont val="Calibri"/>
        <charset val="134"/>
      </rPr>
      <t>https://discricionarias.transferegov.sistema.gov.br/voluntarias/ConsultarProposta/ResultadoDaConsultaDePropostaDetalharProposta.do?idProposta=1886452&amp;Usr=guest&amp;Pwd=guest</t>
    </r>
  </si>
  <si>
    <t>PAVIMENTAÇÃO EM VIAS PÚBLICAS DO MUNICÍPIO DE TERESINA-PI</t>
  </si>
  <si>
    <t>Prestação de Contas Comprovada em Análise</t>
  </si>
  <si>
    <t>Concorrência Eletrônica N°012</t>
  </si>
  <si>
    <t>592.737,74</t>
  </si>
  <si>
    <t>30.250,00</t>
  </si>
  <si>
    <t>SOTURNO</t>
  </si>
  <si>
    <r>
      <rPr>
        <u/>
        <sz val="11"/>
        <color rgb="FF1155CC"/>
        <rFont val="Calibri"/>
        <charset val="134"/>
      </rPr>
      <t>https://discricionarias.transferegov.sistema.gov.br/voluntarias/ConsultarProposta/ResultadoDaConsultaDePropostaDetalharProposta.do?idProposta=1905302&amp;Usr=guest&amp;Pwd=guest</t>
    </r>
  </si>
  <si>
    <t>262.025</t>
  </si>
  <si>
    <t>682.308,68</t>
  </si>
  <si>
    <t>24.764,00</t>
  </si>
  <si>
    <t>MINISTÉRIO DO DESENVOLVIMENTO E ASSISTÊNCIA SOCIAL, FAMÍLIA E COMBATE FOME</t>
  </si>
  <si>
    <r>
      <rPr>
        <u/>
        <sz val="11"/>
        <color rgb="FF1155CC"/>
        <rFont val="Calibri"/>
        <charset val="134"/>
      </rPr>
      <t>https://discricionarias.transferegov.sistema.gov.br/voluntarias/ConsultarProposta/ResultadoDaConsultaDePropostaDetalharProposta.do?idProposta=1915711&amp;Usr=guest&amp;Pwd=guest</t>
    </r>
  </si>
  <si>
    <t>ESTRUTURAÇÃO DA REDE DE SERVIÇOS DO SISTEMA ÚNICO DE ASSISTÊNCIA SOCIAL - SUAS - REFORMA DO ABRIGO INSTITUCIONAL</t>
  </si>
  <si>
    <t>351.649,33</t>
  </si>
  <si>
    <r>
      <rPr>
        <u/>
        <sz val="11"/>
        <color rgb="FF1155CC"/>
        <rFont val="Calibri"/>
        <charset val="134"/>
      </rPr>
      <t>https://discricionarias.transferegov.sistema.gov.br/voluntarias/ConsultarProposta/ResultadoDaConsultaDePropostaDetalharProposta.do?idProposta=1915658&amp;Usr=guest&amp;Pwd=guest</t>
    </r>
  </si>
  <si>
    <t>ESTRUTURAÇÃO DA REDE DE SERVIÇOS DO SISTEMA ÚNICO DE ASSISTÊNCIA SOCIAL - SUAS - CONSTRUÇÃO DE RESIDÊNCIA INCLUSIVA</t>
  </si>
  <si>
    <t>16.000,00</t>
  </si>
  <si>
    <r>
      <rPr>
        <u/>
        <sz val="11"/>
        <color rgb="FF1155CC"/>
        <rFont val="Calibri"/>
        <charset val="134"/>
      </rPr>
      <t>https://discricionarias.transferegov.sistema.gov.br/voluntarias/ConsultarProposta/ResultadoDaConsultaDePropostaDetalharProposta.do?idProposta=1939922&amp;Usr=guest&amp;Pwd=guest</t>
    </r>
  </si>
  <si>
    <t>Prestação de Contas Iniciada Por Antecipação</t>
  </si>
  <si>
    <t>Concorrência n° 005/2025</t>
  </si>
  <si>
    <t>482.363,47</t>
  </si>
  <si>
    <t>27.880,81</t>
  </si>
  <si>
    <t>25.000,00</t>
  </si>
  <si>
    <t>LOCALIDADE TORROES</t>
  </si>
  <si>
    <t>MINISTERIO DA SAUDE</t>
  </si>
  <si>
    <r>
      <rPr>
        <u/>
        <sz val="11"/>
        <color rgb="FF1155CC"/>
        <rFont val="Calibri"/>
        <charset val="134"/>
      </rPr>
      <t>https://discricionarias.transferegov.sistema.gov.br/voluntarias/ConsultarProposta/ResultadoDaConsultaDePropostaDetalharProposta.do?idProposta=1930696&amp;Usr=guest&amp;Pwd=guest</t>
    </r>
  </si>
  <si>
    <t>REFORMA DE UNIDADE DE ATENÇÃO ESPECIALIZADA EM SAÚDE</t>
  </si>
  <si>
    <t>FUNDO DE SAUDE DO ESTADO DO PIAUI</t>
  </si>
  <si>
    <r>
      <rPr>
        <u/>
        <sz val="11"/>
        <color rgb="FF1155CC"/>
        <rFont val="Calibri"/>
        <charset val="134"/>
      </rPr>
      <t>https://discricionarias.transferegov.sistema.gov.br/voluntarias/ConsultarProposta/ResultadoDaConsultaDePropostaDetalharProposta.do?idProposta=1890231&amp;Usr=guest&amp;Pwd=guest</t>
    </r>
  </si>
  <si>
    <t>OBRA DE IMPLANTAÇÃO, RECUPERAÇÃO DE ESTRADAS VICINAIS EM MUNICÍPIOS DO ESTADO DO PIAUI</t>
  </si>
  <si>
    <t>BURITI DOS MONTES, TERESINA</t>
  </si>
  <si>
    <t>DEPARTAMENTO DE ESTRADAS DE RODAGEM DO PIAUI</t>
  </si>
  <si>
    <t>004/2025</t>
  </si>
  <si>
    <t>784.506,01</t>
  </si>
  <si>
    <t>749.501,99</t>
  </si>
  <si>
    <t>MAIS DE UM TERRITÓRIO</t>
  </si>
  <si>
    <t>5.000,00</t>
  </si>
  <si>
    <t>BOA HORA</t>
  </si>
  <si>
    <r>
      <rPr>
        <u/>
        <sz val="11"/>
        <color rgb="FF1155CC"/>
        <rFont val="Calibri"/>
        <charset val="134"/>
      </rPr>
      <t>https://discricionarias.transferegov.sistema.gov.br/voluntarias/ConsultarProposta/ResultadoDaConsultaDePropostaDetalharProposta.do?idProposta=1944090&amp;Usr=guest&amp;Pwd=guest</t>
    </r>
  </si>
  <si>
    <t>PAVIMENTAÇÃO EM PARALELEPIPEDO NAS ZONAS URBANAS NO MUNICÍPIO DE TERESINA.</t>
  </si>
  <si>
    <t>SECRETARIA DA IRRIGACAO E INFRAESTRUTURA HIDRICA</t>
  </si>
  <si>
    <t>035/2025</t>
  </si>
  <si>
    <t>498.854,96</t>
  </si>
  <si>
    <t>20.000,00</t>
  </si>
  <si>
    <r>
      <rPr>
        <u/>
        <sz val="11"/>
        <color rgb="FF1155CC"/>
        <rFont val="Calibri"/>
        <charset val="134"/>
      </rPr>
      <t>https://discricionarias.transferegov.sistema.gov.br/voluntarias/ConsultarProposta/ResultadoDaConsultaDePropostaDetalharProposta.do?idProposta=1950039&amp;Usr=guest&amp;Pwd=guest</t>
    </r>
  </si>
  <si>
    <t>Pavimentacao de Vias Publicas na Região Integrada de Desenvolvimento da Grande Teresina (RIDE Grande Teresina)</t>
  </si>
  <si>
    <t>SECRETARIA DO AGRONEGOCIO E EMPREENDEDORISMO RURAL</t>
  </si>
  <si>
    <t>##########</t>
  </si>
  <si>
    <t>277.008,10</t>
  </si>
  <si>
    <t>224.809,00</t>
  </si>
  <si>
    <t>DIVERSOS</t>
  </si>
  <si>
    <r>
      <rPr>
        <u/>
        <sz val="11"/>
        <color rgb="FF1155CC"/>
        <rFont val="Calibri"/>
        <charset val="134"/>
      </rPr>
      <t>https://discricionarias.transferegov.sistema.gov.br/voluntarias/ConsultarProposta/ResultadoDaConsultaDePropostaDetalharProposta.do?idProposta=1950041&amp;Usr=guest&amp;Pwd=guest</t>
    </r>
  </si>
  <si>
    <t>Pavimentação de Vias Públicas na Região Integrada de Desenvolvimento da Grande Teresina (RIDE Grande Teresina).</t>
  </si>
  <si>
    <t>SECRETARIA DO TURISMO DO ESTADO DO PIAUI</t>
  </si>
  <si>
    <t>404.388,64</t>
  </si>
  <si>
    <r>
      <rPr>
        <u/>
        <sz val="11"/>
        <color rgb="FF1155CC"/>
        <rFont val="Calibri"/>
        <charset val="134"/>
      </rPr>
      <t>https://discricionarias.transferegov.sistema.gov.br/voluntarias/ConsultarProposta/ResultadoDaConsultaDePropostaDetalharProposta.do?idProposta=1903068&amp;Usr=guest&amp;Pwd=guest</t>
    </r>
  </si>
  <si>
    <t>PAVIMENTAÇÃO ASFÁLTICA NA ZONA URBANA DE DIVERSOS MUNICÍPIOS NO ESTADO DO PIAUÍ.</t>
  </si>
  <si>
    <t>TERESINA, PICOS, PIRIPIRI E FLORIANO</t>
  </si>
  <si>
    <t>020/2025</t>
  </si>
  <si>
    <t>30.221,00</t>
  </si>
  <si>
    <r>
      <rPr>
        <u/>
        <sz val="11"/>
        <color rgb="FF1155CC"/>
        <rFont val="Calibri"/>
        <charset val="134"/>
      </rPr>
      <t>https://discricionarias.transferegov.sistema.gov.br/voluntarias/ConsultarProposta/ResultadoDaConsultaDePropostaDetalharProposta.do?idProposta=1947936&amp;Usr=guest&amp;Pwd=guest</t>
    </r>
  </si>
  <si>
    <t>PAVIMENTAÇÃO ASFÁLTICA EM VIAS PUBLICAS NO MUNICÍPIO DE TERESINA, CAPITAL DO ESTADO DO PIAUÍ.</t>
  </si>
  <si>
    <t>014/2025</t>
  </si>
  <si>
    <t>30.721,00</t>
  </si>
  <si>
    <t>Eixo Balanço</t>
  </si>
  <si>
    <t>ÓRGÃO</t>
  </si>
  <si>
    <t>Descrição</t>
  </si>
  <si>
    <t>Recebimento</t>
  </si>
  <si>
    <t>ValorPago</t>
  </si>
  <si>
    <t>EDUCAÇÃO</t>
  </si>
  <si>
    <t>CETI DEP JOAQUIM GOMES CALADO - Manutenção Predial- SEDUC</t>
  </si>
  <si>
    <t>CETI MARIA MELO - Manutenção Predial- SEDUC</t>
  </si>
  <si>
    <t>PLANALTO ININGA</t>
  </si>
  <si>
    <t>CETI GOVERNADOR FREITAS NETO - Manutenção Predial- SEDUC</t>
  </si>
  <si>
    <t>SAMAPI</t>
  </si>
  <si>
    <t>CETI PROFESSOR AGRIPINO OLIVEIRA - Manutenção Predial- SEDUC</t>
  </si>
  <si>
    <t>CETI PROFESSOR DARCY ARAUJO - Manutenção Predial- SEDUC</t>
  </si>
  <si>
    <t>NOSSA SENHORA DE FÁTIMA</t>
  </si>
  <si>
    <t>CETI GERVASIO COSTA - Manutenção Predial- SEDUC</t>
  </si>
  <si>
    <t>CETI PROF ANTÔNIO TARCISO PEREIRA E SILVA - Manutenção Predial- SEDUC</t>
  </si>
  <si>
    <t>CETI GOVERNADOR JOÃO CLIMACO DALMEIDA - Manutenção Predial- SEDUC</t>
  </si>
  <si>
    <t>POVOADO BAIXÃO DO CARLOS</t>
  </si>
  <si>
    <t>CENTRO CULTURAL DE LÍNGUAS PADRE RAIMUNDO JOSÉ AIREMORAES SOARES - Manutenção Predial- SEDUC</t>
  </si>
  <si>
    <t>CETI RESIDENCIAL ESPLANADA - Manutenção Predial- SEDUC</t>
  </si>
  <si>
    <t>U E MARECHAL RONDON - Manutenção Predial- SEDUC</t>
  </si>
  <si>
    <t>CETI DOM SEVERINO - Revisão Elétrica- SEDUC</t>
  </si>
  <si>
    <t>VILA OPERÁRIA</t>
  </si>
  <si>
    <t>CETI PROFESSOR ANTÔNIO MARIA MADEIRA - Manutenção Predial- SEDUC</t>
  </si>
  <si>
    <t>CETI CALUZINHA FREIRE - Manutenção Predial- SEDUC</t>
  </si>
  <si>
    <t>CETI PROFESSOR RAIMUNDO PORTELA - Manutenção Predial- SEDUC</t>
  </si>
  <si>
    <t>SÃO CRISTÓVÃO</t>
  </si>
  <si>
    <t>U E ANICOTA BURLAMAQUI - Manutenção Predial- SEDUC</t>
  </si>
  <si>
    <t>CEJA DOM HELDER CAMARA - Manutenção Predial- SEDUC</t>
  </si>
  <si>
    <t>VILA IRMA DULCE</t>
  </si>
  <si>
    <t>CETI PROFESSOR BALDUINO BARBOSA DE DEUS - Revisão Hidrossanitário- SEDUC</t>
  </si>
  <si>
    <t>CEJA GOV ALBERTO TAVARES E SILVA - Manutenção Predial- SEDUC</t>
  </si>
  <si>
    <t>LOURIVAL PARENTE</t>
  </si>
  <si>
    <t>CETI MARCOS RODRIGUES COELHO - Manutenção Predial- SEDUC</t>
  </si>
  <si>
    <t>CETI DR FONTES IBIAPINA - Manutenção Predial- SEDUC</t>
  </si>
  <si>
    <t>CETI DEP ATILA LIRA - Manutenção Predial- SEDUC</t>
  </si>
  <si>
    <t>DIRCEU II</t>
  </si>
  <si>
    <t>CETI ANTÔNIO DE ALMENDRA FREITAS - Manutenção Predial- SEDUC</t>
  </si>
  <si>
    <t>SEDE 20ª GRE - Manutenção Predial- SEDUC</t>
  </si>
  <si>
    <t>CENTRO DE CAPACITAÇÃO DE PROFISSIONAIS DA EDUCAÇÃO E ATENDIMENTO ÀS PESSOAS COM SURDEZ - CAS - Manutenção Predial- SEDUC</t>
  </si>
  <si>
    <t>CETI GABRIEL FERREIRA - Manutenção Predial- SEDUC</t>
  </si>
  <si>
    <t>CETI ESTADO DE SÃO PAULO - Manutenção Predial- SEDUC</t>
  </si>
  <si>
    <t>CEJA PROFESSORA SHIRLEY COSTA E SILVA - Manutenção Predial- SEDUC</t>
  </si>
  <si>
    <t>CONJUNTO PARQUE PIAUÍ</t>
  </si>
  <si>
    <t>CETI MARTINS NAPOLEAO - Manutenção Predial- SEDUC</t>
  </si>
  <si>
    <t>CETI SANTA INES - Manutenção Predial- SEDUC</t>
  </si>
  <si>
    <t>DIRCEU ARCOVERDE I</t>
  </si>
  <si>
    <t>CETI JOSÉ PEREIRA DA SILVA - Manutenção Predial- SEDUC</t>
  </si>
  <si>
    <t>CETI SIGEFREDO PACHECO - Manutenção Predial- SEDUC</t>
  </si>
  <si>
    <t>CETI PROFESSOR JOSÉ PACIFICO DE MOURA NETO - Manutenção Predial- SEDUC</t>
  </si>
  <si>
    <t>CETI MONSENHOR CICERO PORTELA NUNES - Revisão Hidrossanitário- SEDUC</t>
  </si>
  <si>
    <t>INSTITUTO DE EDUCAÇÃO ANTÔNINO FREIRE - Manutenção Predial- SEDUC</t>
  </si>
  <si>
    <t>CETI PROFESSORA HELENA CARVALHO - Sala de saúde digital- SEDUC</t>
  </si>
  <si>
    <t>MEMORARE</t>
  </si>
  <si>
    <t>CEJA DR. FONTES IBIAPINA - Manutenção Predial- SEDUC</t>
  </si>
  <si>
    <t>CETI PROF PINHEIRO MACHADO - Manutenção Predial- SEDUC</t>
  </si>
  <si>
    <t>ANTIGO PRÉDIO DA U E PROFESSOR TOMAZ AREA LEAO FILHO - Manutenção Predial- SEDUC</t>
  </si>
  <si>
    <t>CETI PREFEITO FREITAS NETO - Manutenção Predial- SEDUC</t>
  </si>
  <si>
    <t>SEDE 21ª GRE - Manutenção Predial- SEDUC</t>
  </si>
  <si>
    <t>SECRETARIA DA EDUCAÇÃO DO ESTADO DO PIAUI - CONFECÇÃO E FABRICAÇÃO DE PAINÉIS E LETREIROS LUMINOSOS COM INSTALAÇÃO- SEDUC</t>
  </si>
  <si>
    <t>CETI PEDRA MOLE - Manutenção Predial- SEDUC</t>
  </si>
  <si>
    <t>CETI PROFESSORA HELENA CARVALHO - Manutenção Predial- SEDUC</t>
  </si>
  <si>
    <t>CETI PROFESSORA AUREA FREIRE - Manutenção Predial- SEDUC</t>
  </si>
  <si>
    <t>CETI MELVIN JONES - Manutenção Predial- SEDUC</t>
  </si>
  <si>
    <t>SÃO JOÃO</t>
  </si>
  <si>
    <t>CEJA JOÃO ADROALDO PIRES SOARES - Manutenção Predial- SEDUC</t>
  </si>
  <si>
    <t>CETI EM SAUDE MONSENHOR JOSÉ LUIS BARBOSA CORTEZ - Revisão Hidrossanitário- SEDUC</t>
  </si>
  <si>
    <t>CETI CRISTINO CASTELO BRANCO - Manutenção Predial- SEDUC</t>
  </si>
  <si>
    <t>CETI DESEMBARGADOR HENRIQUE COUTO - Manutenção Predial- SEDUC</t>
  </si>
  <si>
    <t>PARQUE IDEAL</t>
  </si>
  <si>
    <t>U E PROFESSORA HELENA AQUINO - Manutenção Predial- SEDUC</t>
  </si>
  <si>
    <t>CETI PROFESSOR FLORESTAN FERNANDES - Manutenção Predial- SEDUC</t>
  </si>
  <si>
    <t>BOM PRINCIPIO</t>
  </si>
  <si>
    <t>CETI ZACARIAS DE GOIS - Serviços Gerais- SEDUC</t>
  </si>
  <si>
    <t>CEJA PROFª MARIA RODRIGUES DAS MERCEDES - Manutenção Predial- SEDUC</t>
  </si>
  <si>
    <t>SEDE 19ª GRE - Manutenção Predial- SEDUC</t>
  </si>
  <si>
    <t>SEDE 04ª GRE - Manutenção Predial- SEDUC</t>
  </si>
  <si>
    <t>CETI PROFª MARIA DA CONCEICAO SALOME - Manutenção Predial- SEDUC</t>
  </si>
  <si>
    <t>RENASCENCA II</t>
  </si>
  <si>
    <t>CETI SOLANGE SINIMBU VIANA AREA LEAO - Manutenção Predial- SEDUC</t>
  </si>
  <si>
    <t>CETI INDIGENA OKA KA INAMINANOKO - Manutenção Predial- SEDUC</t>
  </si>
  <si>
    <t>CETI INTEGRADO ANGELIM - Manutenção Predial- SEDUC</t>
  </si>
  <si>
    <t>CETI PROFESSOR BALDUINO BARBOSA DE DEUS - Manutenção Predial- SEDUC</t>
  </si>
  <si>
    <t>ALMOXARIFADO SECRETARIA ESTADUAL DE EDUCAÇÃO - Manutenção Predial- SEDUC</t>
  </si>
  <si>
    <t>DIRCEU I</t>
  </si>
  <si>
    <t>CETI FAMILIA AGRICOLA DO SOINHO - Manutenção Predial- SEDUC</t>
  </si>
  <si>
    <t>CENTRO DE HABILITAÇÃO ANA CORDEIRO - CHAC - Manutenção Predial- SEDUC</t>
  </si>
  <si>
    <t>TABULETA</t>
  </si>
  <si>
    <t>CETI MARIA DINA SOARES - Manutenção Predial- SEDUC</t>
  </si>
  <si>
    <t>PIO XII</t>
  </si>
  <si>
    <t>CETI BENJAMIN BAPTISTA - Sala de saúde digital- SEDUC</t>
  </si>
  <si>
    <t>CETI MATIAS OLIMPIO - Sala de saúde digital- SEDUC</t>
  </si>
  <si>
    <t>CONJ. MIN. PETRONIO PORTELA</t>
  </si>
  <si>
    <t>CEJA FRANCISCO CESAR DE ARAUJO - Manutenção Predial- SEDUC</t>
  </si>
  <si>
    <t>CETI FLORISA SILVA - Manutenção Predial- SEDUC</t>
  </si>
  <si>
    <t>CETI FREI HELIODORIO - Manutenção Predial- SEDUC</t>
  </si>
  <si>
    <t>CETI MATIAS OLIMPIO - Manutenção Predial- SEDUC</t>
  </si>
  <si>
    <t>CETI PEQUENA RUBIM - Manutenção Predial- SEDUC</t>
  </si>
  <si>
    <t>ALTO ALEGRE</t>
  </si>
  <si>
    <t>CETI PROFESSOR JOCA VIEIRA - Manutenção Predial- SEDUC</t>
  </si>
  <si>
    <t>CETI EM SAUDE MONSENHOR JOSÉ LUIS BARBOSA CORTEZ - Manutenção Predial- SEDUC</t>
  </si>
  <si>
    <t>CETI MOACI MADEIRA CAMPOS - Manutenção Predial- SEDUC</t>
  </si>
  <si>
    <t>CETI PROF PINHEIRO MACHADO - Serviços Gerais- SEDUC</t>
  </si>
  <si>
    <t>CETI DUQUE DE CAXIAS - Manutenção Predial- SEDUC</t>
  </si>
  <si>
    <t>CETI PROFESSOR EDGAR TITO - Sala de saúde digital- SEDUC</t>
  </si>
  <si>
    <t>CETI MONSENHOR RAIMUNDO NONATO MELO - Manutenção Predial- SEDUC</t>
  </si>
  <si>
    <t>SEDE 18ª GRE - Manutenção Predial- SEDUC</t>
  </si>
  <si>
    <t>CETI PROFESSOR EDGAR TITO - Manutenção Predial- SEDUC</t>
  </si>
  <si>
    <t>CETI PROFESSOR RUY LEITE BERGER FILHO - Manutenção Predial- SEDUC</t>
  </si>
  <si>
    <t>ALTO DA RESSUREIÇÃO</t>
  </si>
  <si>
    <t>CETI GOVERNADOR DIRCEU MENDES ARCOVERDE - Manutenção Predial- SEDUC</t>
  </si>
  <si>
    <t>CEJA SÃO SEBASTIAO - Manutenção Predial- SEDUC</t>
  </si>
  <si>
    <t>RENASCENÇA III</t>
  </si>
  <si>
    <t>CETI SEVERIANO SOUSA - Manutenção Predial- SEDUC</t>
  </si>
  <si>
    <t>ACARAPE</t>
  </si>
  <si>
    <t>CETI NOSSA SENHORA DO PERPETUO SOCORRO - Manutenção Predial- SEDUC</t>
  </si>
  <si>
    <t>RURAL SUL</t>
  </si>
  <si>
    <t>CENTRO TÉCNICO DE TEATRO PROFESSOR JOSÉ GOMES CAMPOS - Manutenção Predial- SEDUC</t>
  </si>
  <si>
    <t>CENTRO/NORTE</t>
  </si>
  <si>
    <t>CETI BARAO DE GURGUEIA - Manutenção Predial- SEDUC</t>
  </si>
  <si>
    <t>CETI PADRE JOAQUIM NONATO GOMES - Serviços Gerais- SEDUC</t>
  </si>
  <si>
    <t>CETI MONSENHOR CICERO PORTELA NUNES - Manutenção Predial- SEDUC</t>
  </si>
  <si>
    <t>PARQUE PIAUI</t>
  </si>
  <si>
    <t>CETI NOSSA SENHORA DO PERPETUO SOCORRO - Sala de saúde digital- SEDUC</t>
  </si>
  <si>
    <t>CERÊMICA CIL</t>
  </si>
  <si>
    <t>CETI SIGEFREDO PACHECO - Sala de saúde digital- SEDUC</t>
  </si>
  <si>
    <t>CETI SOLANGE SINIMBU VIANA AREA LEAO - Serviços Gerais- SEDUC</t>
  </si>
  <si>
    <t>CETI LOURIVAL PARENTE - Serviços Gerais- SEDUC</t>
  </si>
  <si>
    <t>U E PROFESSOR MELO MAGALHÃES - Manutenção Predial- SEDUC</t>
  </si>
  <si>
    <t>CENTRO DE FORMAÇÃO DE PROFESSORES MARCÍLIO FLÁVIO RANGEL DE FARIAS - Manutenção Predial- SEDUC</t>
  </si>
  <si>
    <t>MARQUÊS</t>
  </si>
  <si>
    <t>NUCLEO DE LOTAÇÃO - ANTIGA U E PALHACINHO DENGOSO - Manutenção Predial- SEDUC</t>
  </si>
  <si>
    <t>CETI PROFESSOR JOCA VIEIRA - Serviços Gerais- SEDUC</t>
  </si>
  <si>
    <t>CETI LOURIVAL PARENTE - Manutenção Predial- SEDUC</t>
  </si>
  <si>
    <t>CINE REX - Manutenção Predial- SEDUC</t>
  </si>
  <si>
    <t>CETI FAMILIA AGRICOLA BAIXAO DO CARLOS - Manutenção Predial- SEDUC</t>
  </si>
  <si>
    <t>POVOADO BAIXÃO CARLOS</t>
  </si>
  <si>
    <t>ANTIGA U E BRAUFA - Manutenção Predial- SEDUC</t>
  </si>
  <si>
    <t>CETI JOÃO HENRIQUE DE ALMEIDA SOUSA - Manutenção Predial- SEDUC</t>
  </si>
  <si>
    <t>CETI PEQUENA RUBIM - Serviços Gerais- SEDUC</t>
  </si>
  <si>
    <t>CETI PADRE ANTÔNIO JOSÉ DO REGO - Manutenção Predial- SEDUC</t>
  </si>
  <si>
    <t>CETI PROFA ADAMIR LEAL - Manutenção Predial- SEDUC</t>
  </si>
  <si>
    <t>DIRCEU ARCOVERDE II</t>
  </si>
  <si>
    <t>CETI LOURIVAL PARENTE - Serviços Gerais, Revisão Elétrica- SEDUC</t>
  </si>
  <si>
    <t>CETI PROFESSORA JULIA NUNES ALVES - Cobertura- SEDUC</t>
  </si>
  <si>
    <t>CETI DEPUTADO TERTULIANO MILTON BRANDÃO - Manutenção Predial- SEDUC</t>
  </si>
  <si>
    <t>CETI CALUZINHA FREIRE - Cobertura- SEDUC</t>
  </si>
  <si>
    <t>CETI PROFESSOR FLORESTAN FERNANDES - Serviços Gerais- SEDUC</t>
  </si>
  <si>
    <t>CETI MARIA MELO - CONFECÇÃO E FABRICAÇÃO DE PAINÉIS E LETREIROS LUMINOSOS COM INSTALAÇÃO- SEDUC</t>
  </si>
  <si>
    <t>CETI DIDACIO SILVA - Manutenção Predial- SEDUC</t>
  </si>
  <si>
    <t>CETI PAULO FERRAZ - CONFECÇÃO E FABRICAÇÃO DE PAINÉIS E LETREIROS LUMINOSOS COM INSTALAÇÃO- SEDUC</t>
  </si>
  <si>
    <t>CETI PADRE JOAQUIM NONATO GOMES - CONFECÇÃO E FABRICAÇÃO DE PAINÉIS E LETREIROS LUMINOSOS COM INSTALAÇÃO- SEDUC</t>
  </si>
  <si>
    <t>CETI PROFESSOR ANTÔNIO MARIA MADEIRA - Revisão Elétrica- SEDUC</t>
  </si>
  <si>
    <t>CETI EM SAUDE MONSENHOR JOSÉ LUIS BARBOSA CORTEZ - Serviços Gerais- SEDUC</t>
  </si>
  <si>
    <t>CETI PROFESSOR JAMES AZEVEDO - CONFECÇÃO E FABRICAÇÃO DE PAINÉIS E LETREIROS LUMINOSOS COM INSTALAÇÃO- SEDUC</t>
  </si>
  <si>
    <t>ALVORADA</t>
  </si>
  <si>
    <t>CEJA PROFESSORA MARIA DO CARMO REVERDOSA DA CRUZ - Serviços Gerais- SEDUC</t>
  </si>
  <si>
    <t>CETI SOLANGE SINIMBU VIANA AREA LEAO - Revisão Elétrica- SEDUC</t>
  </si>
  <si>
    <t>CEJA PROFESSORA MARIA DO CARMO REVERDOSA DA CRUZ - Manutenção Predial- SEDUC</t>
  </si>
  <si>
    <t>CEJA PROFESSORA MARIA DO CARMO REVERDOSA DA CRUZ - Cobertura- SEDUC</t>
  </si>
  <si>
    <t>CEJA GOV ALBERTO TAVARES E SILVA - CONFECÇÃO E FABRICAÇÃO DE PAINÉIS E LETREIROS LUMINOSOS COM INSTALAÇÃO- SEDUC</t>
  </si>
  <si>
    <t>CETI DEPUTADO ALBERTO MONTEIRO - Manutenção Predial- SEDUC</t>
  </si>
  <si>
    <t>CETI PROFESSORA JULIA NUNES ALVES - Manutenção Predial- SEDUC</t>
  </si>
  <si>
    <t>CETI PADRE JOAQUIM NONATO GOMES - Manutenção Predial- SEDUC</t>
  </si>
  <si>
    <t>CETI PROFESSOR AGRIPINO OLIVEIRA - CLIMATIZAÇÃO - SEDUC</t>
  </si>
  <si>
    <t>CETI MUNDIM FERRAZ - Manutenção Predial- SEDUC</t>
  </si>
  <si>
    <t>CETI JOEL RIBEIRO - CLIMATIZAÇÃO- SEDUC</t>
  </si>
  <si>
    <t>MATADOURO</t>
  </si>
  <si>
    <t>CETI PROFESSOR AGRIPINO OLIVEIRA - Subestação - SEDUC</t>
  </si>
  <si>
    <t>CETI JOEL RIBEIRO - Cobertura- SEDUC</t>
  </si>
  <si>
    <t>U E PRESIDENTE VARGAS - CASA DA ESTUDANTE FEMININA - Manutenção Predial- SEDUC</t>
  </si>
  <si>
    <t>CETI PREFEITO JOÃO MENDES OLIMPIO DE MELO - Manutenção Predial- SEDUC</t>
  </si>
  <si>
    <t>CETI LUCAS MEIRELES ALVES - Manutenção Predial- SEDUC</t>
  </si>
  <si>
    <t>CETI PROFESSORA MARIA DE LOURDES REBELO - Manutenção Predial- SEDUC</t>
  </si>
  <si>
    <t>CETI EM SAUDE MONSENHOR JOSÉ LUIS BARBOSA CORTEZ - CONFECÇÃO E FABRICAÇÃO DE PAINÉIS E LETREIROS LUMINOSOS COM INSTALAÇÃO- SEDUC</t>
  </si>
  <si>
    <t>U E DEMERVAL LOBAO - Manutenção Predial- SEDUC</t>
  </si>
  <si>
    <t>CETI PROF MILTON AGUIAR - Manutenção Predial- SEDUC</t>
  </si>
  <si>
    <t>CETI ESTADO DE SÃO PAULO - Revisão Elétrica- SEDUC</t>
  </si>
  <si>
    <t>CETI DUQUE DE CAXIAS - Revisão Elétrica- SEDUC</t>
  </si>
  <si>
    <t>CETI SIGEFREDO PACHECO - CONFECÇÃO E FABRICAÇÃO DE PAINÉIS E LETREIROS LUMINOSOS COM INSTALAÇÃO- SEDUC</t>
  </si>
  <si>
    <t>CETI PROFESSOR FELISMINO FREITAS - Manutenção Predial- SEDUC</t>
  </si>
  <si>
    <t>CETI LOURIVAL PARENTE - Revisão Elétrica- SEDUC</t>
  </si>
  <si>
    <t>CETI MARIA MODESTINA BEZERRA - Manutenção Predial- SEDUC</t>
  </si>
  <si>
    <t>CETI PROFESSORA AURISTELA SOARES - Manutenção Predial- SEDUC</t>
  </si>
  <si>
    <t>ESCOLA DE TECNOLOGIA ENGENHEIRO SAMPAIO - Manutenção Predial- SEDUC</t>
  </si>
  <si>
    <t>CETI CRISTINO CASTELO BRANCO - CONFECÇÃO E FABRICAÇÃO DE PAINÉIS E LETREIROS LUMINOSOS COM INSTALAÇÃO- SEDUC</t>
  </si>
  <si>
    <t>CETI NAIR GONCALVES - Manutenção Predial- SEDUC</t>
  </si>
  <si>
    <t>U E PROFESSOR JOSÉ CAMILO DA SILVEIRA FILHO - Manutenção Predial- SEDUC</t>
  </si>
  <si>
    <t>CETI JOÃO MENDES OLIMPIO DE MELO - Serviços Gerais- SEDUC</t>
  </si>
  <si>
    <t>CETI PROFESSOR BALDUINO BARBOSA DE DEUS - Serviços Gerais- SEDUC</t>
  </si>
  <si>
    <t>CETI BENJAMIN BAPTISTA - Serviços Gerais- SEDUC</t>
  </si>
  <si>
    <t>CETI DIDACIO SILVA - Serviços Gerais- SEDUC</t>
  </si>
  <si>
    <t>CETI FREI HELIODORIO - Serviços Gerais- SEDUC</t>
  </si>
  <si>
    <t>CETI SOLANGE SINIMBU VIANA AREA LEAO - Serviços Gerais, Revisão Elétrica- SEDUC</t>
  </si>
  <si>
    <t>CETI PROF MILTON AGUIAR - Serviços Gerais- SEDUC</t>
  </si>
  <si>
    <t>CETI MOACI MADEIRA CAMPOS - Revisão Elétrica- SEDUC</t>
  </si>
  <si>
    <t>CEJA PROF ANGELINA DE MOURA LEAL - Serviços Gerais- SEDUC</t>
  </si>
  <si>
    <t>CENTRO DE ATIVIDADES DE ALTAS HABILIDADES E SUPERDOTAÇÃO - CAAHS - Manutenção Predial- SEDUC</t>
  </si>
  <si>
    <t>CEJA PROFA OSMARINA - Serviços Gerais- SEDUC</t>
  </si>
  <si>
    <t>CETI PORTAL DA ESPERANÇA - Manutenção Predial- SEDUC</t>
  </si>
  <si>
    <t>CETI FIRMINA SOBREIRA - Manutenção Predial- SEDUC</t>
  </si>
  <si>
    <t>POTY VELHO</t>
  </si>
  <si>
    <t>U E RAIMUNDO WALL FERRAZ - SUBESTAÇÃO- SEDUC</t>
  </si>
  <si>
    <t>ÁGUA MINERAL</t>
  </si>
  <si>
    <t>CETI PROFESSOR JAMES AZEVEDO - Manutenção Predial- SEDUC</t>
  </si>
  <si>
    <t>CENTRO DE APOIO PEDAGÓGICO PARA ATENDIMENTO ÀS PESSOAS COM DEFICIÊNCIA VISUAL - CAP - Manutenção Predial- SEDUC</t>
  </si>
  <si>
    <t>CETI BENJAMIN BAPTISTA - Manutenção Predial- SEDUC</t>
  </si>
  <si>
    <t>CENTRO DE ESTIMULAÇÃO PARA CRIANCAS COM DEFICIÊNCIA SENSORIAL AUDITIVA E VISUAL- CES - Manutenção Predial- SEDUC</t>
  </si>
  <si>
    <t>CETI NOSSA SENHORA DO PERPETUO SOCORRO - CONFECÇÃO E FABRICAÇÃO DE PAINÉIS E LETREIROS LUMINOSOS COM INSTALAÇÃO- SEDUC</t>
  </si>
  <si>
    <t>U E RAIMUNDO WALL FERRAZ - Manutenção Predial- SEDUC</t>
  </si>
  <si>
    <t>CETI DR FONTES IBIAPINA - Reforma de Quadra Poliesportiva- SEDUC</t>
  </si>
  <si>
    <t>CETI PROFESSOR RALDIR CAVALCANTE BASTOS - Manutenção Predial- SEDUC</t>
  </si>
  <si>
    <t>U E ARTHUR MEDEIROS CARNEIRO - Manutenção Predial- SEDUC</t>
  </si>
  <si>
    <t>CETI DR AGNELO PEREIRA DA SILVA - Manutenção Predial- SEDUC</t>
  </si>
  <si>
    <t>CETI NOSSA SENHORA DO PERPETUO SOCORRO - SUBESTAÇÃO + CLIMATIZAÇÃO- SEDUC</t>
  </si>
  <si>
    <t>U E AREOLINO LEONCIO DA SILVA - SUBESTAÇÃO + CLIMATIZAÇÃO- SEDUC</t>
  </si>
  <si>
    <t>U E MARECHAL RONDON - SUBESTAÇÃO- SEDUC</t>
  </si>
  <si>
    <t>CEJA GAYOSO E ALMENDRA - Manutenção Predial- SEDUC</t>
  </si>
  <si>
    <t>CETI MARTINS NAPOLEAO - Serviços Gerais- SEDUC</t>
  </si>
  <si>
    <t>CETI INDIGENA OKA KA INAMINANOKO - Construção/Adaptação de Sala de Aula- SEDUC</t>
  </si>
  <si>
    <t>CETI DESEMBARGADOR ROBERT CARVALHO FREITAS - SUBESTAÇÃO + CLIMATIZAÇÃO- SEDUC</t>
  </si>
  <si>
    <t>CETI INTEGRADO ANGELIM - SUBESTAÇÃO E CLIMATIZAÇÃO - SEDUC</t>
  </si>
  <si>
    <t>CETI ANTÔNIO DE ALMENDRA FREITAS - 01 SALA DE AULA- SEDUC</t>
  </si>
  <si>
    <t>CETI PAULO FERRAZ - Manutenção Predial- SEDUC</t>
  </si>
  <si>
    <t>CETI NOSSA SENHORA DA PAZ - Manutenção Predial- SEDUC</t>
  </si>
  <si>
    <t>TRÊS ANDARES</t>
  </si>
  <si>
    <t>BIBLIOTECA PÚBLICA ESTAÇÃO NOVA DA CULTURA - Manutenção Predial- SEDUC</t>
  </si>
  <si>
    <t>POVOADO ALEGRIA</t>
  </si>
  <si>
    <t>CETI PROFA ADAMIR LEAL - Revisão Cobertura, Revisão Elétrica- SEDUC</t>
  </si>
  <si>
    <t>CETI DEP ATILA LIRA - Serviços Gerais- SEDUC</t>
  </si>
  <si>
    <t>CETI PROFESSORA JULIA NUNES ALVES - CONFECÇÃO E FABRICAÇÃO DE PAINÉIS E LETREIROS LUMINOSOS COM INSTALAÇÃO- SEDUC</t>
  </si>
  <si>
    <t>CETI FAMILIA DE TURISMO - EFTUR - Adaptação/Reforma de Sala de Aula- SEDUC</t>
  </si>
  <si>
    <t>CETI PROFESSOR PIRES DE CASTRO - Manutenção Predial- SEDUC</t>
  </si>
  <si>
    <t>CENTRO DE APOIO PEDAGÓGICO PARA ATENDIMENTO ÀS PESSOAS COM DEFICIÊNCIA VISUAL - CAP - Cobertura- SEDUC</t>
  </si>
  <si>
    <t>CETI DEPUTADO TERTULIANO MILTON BRANDÃO - Serviços Gerais- SEDUC</t>
  </si>
  <si>
    <t>CETI PROFESSOR RAIMUNDO PORTELA - Cobertura- SEDUC</t>
  </si>
  <si>
    <t>SEDE 20ª GRE - Cobertura- SEDUC</t>
  </si>
  <si>
    <t>CETI NAIR GONCALVES - Serviços Gerais- SEDUC</t>
  </si>
  <si>
    <t>CEJA FRANCISCO CESAR DE ARAUJO - Cobertura- SEDUC</t>
  </si>
  <si>
    <t>CEJA FRANCISCO CESAR DE ARAUJO - Serviços Gerais- SEDUC</t>
  </si>
  <si>
    <t>U E ANICOTA BURLAMAQUI - CONFECÇÃO E FABRICAÇÃO DE PAINÉIS E LETREIROS LUMINOSOS COM INSTALAÇÃO- SEDUC</t>
  </si>
  <si>
    <t>CETI HELVIDIO NUNES - Manutenção Predial- SEDUC</t>
  </si>
  <si>
    <t>CETI PROF ANTÔNIO TARCISO PEREIRA E SILVA - Serviços Gerais- SEDUC</t>
  </si>
  <si>
    <t>CETI PROFESSOR JOSÉ PACIFICO DE MOURA NETO - Serviços Gerais- SEDUC</t>
  </si>
  <si>
    <t>CETI DOMICIO MAGALHÃES DE MELO - Serviços Gerais- SEDUC</t>
  </si>
  <si>
    <t>CETI PREFEITO JOÃO MENDES OLIMPIO DE MELO - Revisão Hidrossanitário- SEDUC</t>
  </si>
  <si>
    <t>CETI PREFEITO JOÃO MENDES OLIMPIO DE MELO - Serviços Gerais- SEDUC</t>
  </si>
  <si>
    <t>CETI PROFESSOR JAMES AZEVEDO - Cobertura- SEDUC</t>
  </si>
  <si>
    <t>CEJA GAYOSO E ALMENDRA - Cobertura- SEDUC</t>
  </si>
  <si>
    <t>CETI DUQUE DE CAXIAS - Cobertura- SEDUC</t>
  </si>
  <si>
    <t>CETI GERVASIO COSTA - Serviços Gerais- SEDUC</t>
  </si>
  <si>
    <t>CETI PROFESSOR RALDIR CAVALCANTE BASTOS - Serviços Gerais, Revisão Cobertura- SEDUC</t>
  </si>
  <si>
    <t>CETI GERVASIO COSTA - Cobertura- SEDUC</t>
  </si>
  <si>
    <t>CETI PROF MILTON AGUIAR - Cobertura- SEDUC</t>
  </si>
  <si>
    <t>CETI SANTA INES - Cobertura- SEDUC</t>
  </si>
  <si>
    <t>CETI PROF PINHEIRO MACHADO - Cobertura- SEDUC</t>
  </si>
  <si>
    <t>CETI FAMILIA DE TURISMO - EFTUR - Manutenção Predial- SEDUC</t>
  </si>
  <si>
    <t>CETI INDIGENA OKA KA INAMINANOKO - SUBESTAÇÃO + CLIMATIZAÇÃO- SEDUC</t>
  </si>
  <si>
    <t>CENTRO DE ATENDIMENTO ÀS PESSOAS EM SITUAÇÃO VULNERAVEL - Manutenção Predial- SEDUC</t>
  </si>
  <si>
    <t>SÃO FRANCISCO</t>
  </si>
  <si>
    <t>CEJA PROFESSOR ARTUR FURTADO - Manutenção Predial- SEDUC</t>
  </si>
  <si>
    <t>CEJA PROFA OSMARINA - Manutenção Predial- SEDUC</t>
  </si>
  <si>
    <t>CETI DOM SEVERINO - Manutenção Predial- SEDUC</t>
  </si>
  <si>
    <t>PIÇARREIRA</t>
  </si>
  <si>
    <t>U E MARECHAL RONDON - CONFECÇÃO E FABRICAÇÃO DE PAINÉIS E LETREIROS LUMINOSOS COM INSTALAÇÃO- SEDUC</t>
  </si>
  <si>
    <t>CETI DOMICIO MAGALHÃES DE MELO - Manutenção Predial- SEDUC</t>
  </si>
  <si>
    <t>CETI SOLANGE SINIMBU VIANA AREA LEAO - CONFECÇÃO E FABRICAÇÃO DE PAINÉIS E LETREIROS LUMINOSOS COM INSTALAÇÃO- SEDUC</t>
  </si>
  <si>
    <t>CETI LUCAS MEIRELES ALVES - CONFECÇÃO E FABRICAÇÃO DE PAINÉIS E LETREIROS LUMINOSOS COM INSTALAÇÃO- SEDUC</t>
  </si>
  <si>
    <t>CETI PROFESSOR PAULO MACHADO DE RESENDE - Manutenção Predial- SEDUC</t>
  </si>
  <si>
    <t>CENTRO DE ARTES MARCIAIS SARAH MENEZES - Manutenção Predial- SEDUC</t>
  </si>
  <si>
    <t>CEJA PROF ANGELINA DE MOURA LEAL - Manutenção Predial- SEDUC</t>
  </si>
  <si>
    <t>CETI JOEL RIBEIRO - CONFECÇÃO E FABRICAÇÃO DE PAINÉIS E LETREIROS LUMINOSOS COM INSTALAÇÃO- SEDUC</t>
  </si>
  <si>
    <t>CETI JOÃO MENDES OLIMPIO DE MELO - Manutenção Predial- SEDUC</t>
  </si>
  <si>
    <t>CETI PROFESSOR ANTÔNIO MARIA MADEIRA - CONFECÇÃO E FABRICAÇÃO DE PAINÉIS E LETREIROS LUMINOSOS COM INSTALAÇÃO- SEDUC</t>
  </si>
  <si>
    <t>U E GODOFREDO FREIRE - Manutenção Predial- SEDUC</t>
  </si>
  <si>
    <t>CETI MOACI MADEIRA CAMPOS - CONFECÇÃO E FABRICAÇÃO DE PAINÉIS E LETREIROS LUMINOSOS COM INSTALAÇÃO- SEDUC</t>
  </si>
  <si>
    <t>MOBILIDADE URBANA - ASFÁLTICA</t>
  </si>
  <si>
    <t>PAVIMENTAÇÃO ASFÁLTICA - SEINFRA</t>
  </si>
  <si>
    <t>CETI DOMICIO MAGALHÃES DE MELO - CONFECÇÃO E FABRICAÇÃO DE PAINÉIS E LETREIROS LUMINOSOS COM INSTALAÇÃO- SEDUC</t>
  </si>
  <si>
    <t>CETI ESTADO DE SÃO PAULO - CONFECÇÃO E FABRICAÇÃO DE PAINÉIS E LETREIROS LUMINOSOS COM INSTALAÇÃO- SEDUC</t>
  </si>
  <si>
    <t>CETI LUCIDIO PORTELLA - CONFECÇÃO E FABRICAÇÃO DE PAINÉIS E LETREIROS LUMINOSOS COM INSTALAÇÃO- SEDUC</t>
  </si>
  <si>
    <t>CETI MONSENHOR CICERO PORTELA NUNES - CONFECÇÃO E FABRICAÇÃO DE PAINÉIS E LETREIROS LUMINOSOS COM INSTALAÇÃO- SEDUC</t>
  </si>
  <si>
    <t>CENTRO INTEGRADO DE EDUCAÇÃO ESPECIAL - CIES TERESINA - CONFECÇÃO E FABRICAÇÃO DE PAINÉIS E LETREIROS LUMINOSOS COM INSTALAÇÃO- SEDUC</t>
  </si>
  <si>
    <t>SEDE 19ª GRE - CONFECÇÃO E FABRICAÇÃO DE PAINÉIS E LETREIROS LUMINOSOS COM INSTALAÇÃO- SEDUC</t>
  </si>
  <si>
    <t>CENTRO CULTURAL DE LÍNGUAS PADRE RAIMUNDO JOSÉ AIREMORAES SOARES - CONFECÇÃO E FABRICAÇÃO DE PAINÉIS E LETREIROS LUMINOSOS COM INSTALAÇÃO- SEDUC</t>
  </si>
  <si>
    <t>CETI MONSENHOR RAIMUNDO NONATO MELO - CONFECÇÃO E FABRICAÇÃO DE PAINÉIS E LETREIROS LUMINOSOS COM INSTALAÇÃO- SEDUC</t>
  </si>
  <si>
    <t>CETI MUNDIM FERRAZ - CONFECÇÃO E FABRICAÇÃO DE PAINÉIS E LETREIROS LUMINOSOS COM INSTALAÇÃO- SEDUC</t>
  </si>
  <si>
    <t>CETI SANTA INES - CONFECÇÃO E FABRICAÇÃO DE PAINÉIS E LETREIROS LUMINOSOS COM INSTALAÇÃO- SEDUC</t>
  </si>
  <si>
    <t>CETI PROFESSORA HELENA CARVALHO - CONFECÇÃO E FABRICAÇÃO DE PAINÉIS E LETREIROS LUMINOSOS COM INSTALAÇÃO- SEDUC</t>
  </si>
  <si>
    <t>PARQUE SUL</t>
  </si>
  <si>
    <t>CETI JOÃO HENRIQUE DE ALMEIDA SOUSA - CONFECÇÃO E FABRICAÇÃO DE PAINÉIS E LETREIROS LUMINOSOS COM INSTALAÇÃO- SEDUC</t>
  </si>
  <si>
    <t>CETI DR FONTES IBIAPINA - CONFECÇÃO E FABRICAÇÃO DE PAINÉIS E LETREIROS LUMINOSOS COM INSTALAÇÃO- SEDUC</t>
  </si>
  <si>
    <t>CETI DUQUE DE CAXIAS - CONFECÇÃO E FABRICAÇÃO DE PAINÉIS E LETREIROS LUMINOSOS COM INSTALAÇÃO- SEDUC</t>
  </si>
  <si>
    <t>CETI SANTA FÉ - CONFECÇÃO E FABRICAÇÃO DE PAINÉIS E LETREIROS LUMINOSOS COM INSTALAÇÃO- SEDUC</t>
  </si>
  <si>
    <t>AREIAS</t>
  </si>
  <si>
    <t>CETI JOSÉ PEREIRA DA SILVA - Reforma e Ampliação- SEDUC</t>
  </si>
  <si>
    <t>CETI BENJAMIN BAPTISTA - CONFECÇÃO E FABRICAÇÃO DE PAINÉIS E LETREIROS LUMINOSOS COM INSTALAÇÃO- SEDUC</t>
  </si>
  <si>
    <t>CETI MARIA MODESTINA BEZERRA - CONFECÇÃO E FABRICAÇÃO DE PAINÉIS E LETREIROS LUMINOSOS COM INSTALAÇÃO- SEDUC</t>
  </si>
  <si>
    <t>REFORMA COBERTURA PRÉDIO DA SESAPI</t>
  </si>
  <si>
    <t>CENTRO SUL</t>
  </si>
  <si>
    <t>CENTRO DE ATIVIDADES DE ALTAS HABILIDADES E SUPERDOTAÇÃO - CAAHS - CONFECÇÃO E FABRICAÇÃO DE PAINÉIS E LETREIROS LUMINOSOS COM INSTALAÇÃO- SEDUC</t>
  </si>
  <si>
    <t>CETI LOURIVAL PARENTE - CONFECÇÃO E FABRICAÇÃO DE PAINÉIS E LETREIROS LUMINOSOS COM INSTALAÇÃO- SEDUC</t>
  </si>
  <si>
    <t>CETI CORINA MACHADO VIEIRA - Manutenção Predial- SEDUC</t>
  </si>
  <si>
    <t>RESIDENCIAL JACINTA ANDRADE</t>
  </si>
  <si>
    <t>CETI DOM SEVERINO - CONFECÇÃO E FABRICAÇÃO DE PAINÉIS E LETREIROS LUMINOSOS COM INSTALAÇÃO- SEDUC</t>
  </si>
  <si>
    <t>SEDE 19ª GRE - Reforma- SEDUC</t>
  </si>
  <si>
    <t>CETI PROFESSORA AUREA FREIRE - Construção de Quadra Poliesportiva- SEDUC</t>
  </si>
  <si>
    <t>SEDE 20ª GRE - CONFECÇÃO E FABRICAÇÃO DE PAINÉIS E LETREIROS LUMINOSOS COM INSTALAÇÃO- SEDUC</t>
  </si>
  <si>
    <t>ANTIGO PRÉDIO DA U E POLIVALENTE PRES CASTELO BRANCO - Manutenção Predial- SEDUC</t>
  </si>
  <si>
    <t>CETI DESEMBARGADOR ROBERT CARVALHO FREITAS - Manutenção Predial- SEDUC</t>
  </si>
  <si>
    <t>CETI PEQUENA RUBIM - CONFECÇÃO E FABRICAÇÃO DE PAINÉIS E LETREIROS LUMINOSOS COM INSTALAÇÃO- SEDUC</t>
  </si>
  <si>
    <t>CETI DIDACIO SILVA - CONFECÇÃO E FABRICAÇÃO DE PAINÉIS E LETREIROS LUMINOSOS COM INSTALAÇÃO- SEDUC</t>
  </si>
  <si>
    <t>CETI PROFESSORA AUREA FREIRE - CONFECÇÃO E FABRICAÇÃO DE PAINÉIS E LETREIROS LUMINOSOS COM INSTALAÇÃO- SEDUC</t>
  </si>
  <si>
    <t>CETI PROFESSORA MARIA DE LOURDES REBELO - CONFECÇÃO E FABRICAÇÃO DE PAINÉIS E LETREIROS LUMINOSOS COM INSTALAÇÃO- SEDUC</t>
  </si>
  <si>
    <t>U E PROFESSOR MELO MAGALHÃES - Reforma - Acessibilidade- SEDUC</t>
  </si>
  <si>
    <t>CETI PROFESSOR DARCY ARAUJO - CONFECÇÃO E FABRICAÇÃO DE PAINÉIS E LETREIROS LUMINOSOS COM INSTALAÇÃO- SEDUC</t>
  </si>
  <si>
    <t>PAVIMENTAÇÃO ASFÁLTICA 00119.001462/2024-01- OS- Nº -140/2024- IDEPI</t>
  </si>
  <si>
    <t>PAVIMENTAÇÃO ASFÁLTICA 00119.000161/2025-32- OS- Nº -008/2025- IDEPI</t>
  </si>
  <si>
    <t>CETI LUCIDIO PORTELLA - Manutenção Predial- SEDUC</t>
  </si>
  <si>
    <t>U E SINVAL DE CASTRO - Manutenção Predial- SEDUC</t>
  </si>
  <si>
    <t>CENTRO NORTE</t>
  </si>
  <si>
    <t>DA PI-112 ATÉ A ASSOCIAÇÃO DAS MULHERES DO ASSENTAMENTO NOSSA SENHORA DA PAZ</t>
  </si>
  <si>
    <t>CETI GOVERNADOR JOÃO CLIMACO DALMEIDA - CONFECÇÃO E FABRICAÇÃO DE PAINÉIS E LETREIROS LUMINOSOS COM INSTALAÇÃO- SEDUC</t>
  </si>
  <si>
    <t>CENTRO DE FORMAÇÃO DE PROFESSORES MARCÍLIO FLÁVIO RANGEL DE FARIAS - CONFECÇÃO E FABRICAÇÃO DE PAINÉIS E LETREIROS LUMINOSOS COM INSTALAÇÃO- SEDUC</t>
  </si>
  <si>
    <t>CETI DESEMBARGADOR HELI SOBRAL - CONFECÇÃO E FABRICAÇÃO DE PAINÉIS E LETREIROS LUMINOSOS COM INSTALAÇÃO- SEDUC</t>
  </si>
  <si>
    <t>HUB SEDUC - Manutenção Predial- SEDUC</t>
  </si>
  <si>
    <t>PAVIMENTAÇÃO EM PARALELEPÍPEDO DE 3.703,00 M² NO MUNICÍPIO
DE TERESINA- SECID</t>
  </si>
  <si>
    <t>POVOADO ANAJAS</t>
  </si>
  <si>
    <t>CETI ZACARIAS DE GOIS - Reforma- SEDUC</t>
  </si>
  <si>
    <t>CETI DEP JOAQUIM GOMES CALADO - Reforma- SEDUC</t>
  </si>
  <si>
    <t>PAVIMENTAÇÃO ASFÁLTICA 00119.000256/2025-56- OS- Nº -014/2025- IDEPI</t>
  </si>
  <si>
    <t>PAVIMENTAÇÃO ASFÁLTICA 00119.000725/2025-37- OS- Nº -060/2025- IDEPI</t>
  </si>
  <si>
    <t>PARQUE BRASIL II</t>
  </si>
  <si>
    <t>CETI PROFESSOR FLORESTAN FERNANDES - Reforma de Quadra Poliesportiva- SEDUC</t>
  </si>
  <si>
    <t>PAVIMENTAÇÃO EM PARALELEPÍPEDO DE 4.628,40 M² NO MUNICÍPIO
DE TERESINA- SECID</t>
  </si>
  <si>
    <t>POVOADO AVE VERDE</t>
  </si>
  <si>
    <t>SECRETARIA DA EDUCAÇÃO DO ESTADO DO PIAUI - Manutenção Predial- SEDUC</t>
  </si>
  <si>
    <t>U E PROFESSOR JOÃO SOARES DA SILVA - Reforma - Acessibilidade- SEDUC</t>
  </si>
  <si>
    <t>CEJA JORNALISTA JOÃO EMILIO FALCAO - Manutenção Predial- SEDUC</t>
  </si>
  <si>
    <t>PAVIMENTAÇÃO ASFÁLTICA 00119.000235/2025-31- OS- Nº -011/2025- IDEPI</t>
  </si>
  <si>
    <t>PAVIMENTAÇÃO ASFÁLTICA 00119.000232/2025-05- OS- Nº -009/2025- IDEPI</t>
  </si>
  <si>
    <t>CETI DESEMBARGADOR HELI SOBRAL - Manutenção Predial- SEDUC</t>
  </si>
  <si>
    <t>PAVIMENTAÇÃO ASFÁLTICA 00119.000259/2025-90- OS- Nº -016/2025- IDEPI</t>
  </si>
  <si>
    <t>CEJA PROFª MARIA RODRIGUES DAS MERCEDES - Construção de Quadra Poliesportiva com Vesiários- SEDUC</t>
  </si>
  <si>
    <t>CETI PROFESSOR FELISMINO FREITAS - Reforma- SEDUC</t>
  </si>
  <si>
    <t>CETI PROFESSORA HELENA CARVALHO - Reforma e Ampliação- SEDUC</t>
  </si>
  <si>
    <t>PAVIMENTAÇÃO ASFÁLTICA 00119.000236/2025-85- OS- Nº -012/2025- IDEPI</t>
  </si>
  <si>
    <t>EXTREMA</t>
  </si>
  <si>
    <t>PAVIMENTAÇÃO ASFÁLTICA 00119.000273/2025-93- OS- Nº -019/2025- IDEPI</t>
  </si>
  <si>
    <t>PAVIMENTAÇÃO ASFÁLTICA 00119.000274/2025-38- OS- Nº -020/2025- IDEPI</t>
  </si>
  <si>
    <t>MOCAMBINHO III</t>
  </si>
  <si>
    <t>PAVIMENTAÇÃO ASFÁLTICA 00119.002209/2023-85- OS- Nº -032/2024- IDEPI</t>
  </si>
  <si>
    <t>4/24/2024</t>
  </si>
  <si>
    <t>TORQUATO NETO, COMUNIDADE TORRÃO</t>
  </si>
  <si>
    <t>PAVIMENTAÇÃO ASFÁLTICA 00119.000233/2025-41- OS- Nº -010/2025- IDEPI</t>
  </si>
  <si>
    <t>PARQUE BRASIL 3</t>
  </si>
  <si>
    <t>CETI FIRMINA SOBREIRA - Reforma - SEDUC</t>
  </si>
  <si>
    <t>PAVIMENTAÇÃO ASFÁLTICA 00119.000255/2025-10- OS- Nº -013/2025- IDEPI</t>
  </si>
  <si>
    <t>PARQUE POTI</t>
  </si>
  <si>
    <t>CETI PROF JOSÉ AMAVEL - Manutenção Predial- SEDUC</t>
  </si>
  <si>
    <t>PAVIMENTAÇÃO EM PARALELEPÍPEDO DE 5.972,88 M² NO MUNICÍPIO DE TERESINA- SECID</t>
  </si>
  <si>
    <t>ASSENTAMENTO ININGA</t>
  </si>
  <si>
    <t>U E PROFESSORA HELENA AQUINO - Reforma- SEDUC</t>
  </si>
  <si>
    <t>PAVIMENTAÇÃO ASFÁLTICA 00119.000272/2025-49- OS- Nº -018/2025- IDEPI</t>
  </si>
  <si>
    <t>PAVIMENTAÇÃO ASFÁLTICA 00119.000263/2025-58- OS- Nº -017/2025- IDEPI</t>
  </si>
  <si>
    <t>PAVIMENTAÇÃO ASFÁLTICA 00119.000311/2025-16- OS- Nº -033/2025- IDEPI</t>
  </si>
  <si>
    <t>6/21/2025</t>
  </si>
  <si>
    <t>PAVIMENTAÇÃO EM PARALELEPÍPEDO DE 6.592,80 M² NO MUNICÍPIO DE TERESINA- SECID</t>
  </si>
  <si>
    <t>POVOADO CHAPADINHA NORTE E POVOADO MANOEL DO MORRO</t>
  </si>
  <si>
    <t>CETI PROFESSOR RALDIR CAVALCANTE BASTOS - Reforma- SEDUC</t>
  </si>
  <si>
    <t>CETI MUNDIM FERRAZ - Reforma- SEDUC</t>
  </si>
  <si>
    <t>CETI DUQUE DE CAXIAS - Reforma- SEDUC</t>
  </si>
  <si>
    <t>PAVIMENTAÇÃO EM PARALELEPÍPEDO DE 6.988,96 M² NO MUNICÍPIO
DE TERESINA- SECID</t>
  </si>
  <si>
    <t>AROEIRA</t>
  </si>
  <si>
    <t>CETI DEP ATILA LIRA - Reforma e Ampliação- SEDUC</t>
  </si>
  <si>
    <t>CETI LUCAS MEIRELES ALVES - Reforma, Ampliação, Instalação de Subestação e Construção de Quadra Poliesportiva- SEDUC</t>
  </si>
  <si>
    <t>UTI JOAQUIM DOS VELHOS DO INSTITUTO DE DOENÇAS TROPICAIS NATAN PORTELLA - REFORMA</t>
  </si>
  <si>
    <t>REFORMA DO CENTRO CIRÚRGICO CARDÍACO e HEMODINÂMICA DO HOSPITAL GETULIO VARGAS</t>
  </si>
  <si>
    <t>CETI BENJAMIN BAPTISTA - Reforma e Ampliação- SEDUC</t>
  </si>
  <si>
    <t>SATÉLITE, PORTO DO CENTRO, MORROS, CIDADE INDUSTRIAL</t>
  </si>
  <si>
    <t>LESTE, NORTE</t>
  </si>
  <si>
    <t>CETI PROFESSOR FLORESTAN FERNANDES - Reforma, Subestação e Climatização- SEDUC</t>
  </si>
  <si>
    <t>PAVIMENTAÇÃO ASFÁLTICA 00119.000257/2025-09- OS- Nº -015/2025- IDEPI</t>
  </si>
  <si>
    <t>PAVIMENTAÇÃO EM PARALELEPÍPEDO DE 7.834,40 M² NO MUNICÍPIO DE TERESINA- SECID</t>
  </si>
  <si>
    <t>PAVIMENTAÇÃO EM PARALELEPÍPEDO DE 8.277,80 M² NO MUNICÍPIO DE TERESINA- SECID</t>
  </si>
  <si>
    <t>CENTRO CULTURAL DE LÍNGUAS PADRE RAIMUNDO JOSÉ AIREMORAES SOARES - Reformae Ampliação- SEDUC</t>
  </si>
  <si>
    <t>CENTRO DE ATENÇÃO PSICOSSOCIAL INFANTO JUVENIL - CAPS I - REFORMA</t>
  </si>
  <si>
    <t>REFORMA DA COBERTURA DO HOSPITAL AREOLINO DE ABREU - HAA</t>
  </si>
  <si>
    <t>CETI MONSENHOR CICERO PORTELA NUNES - Reforma e Ampliação- SEDUC</t>
  </si>
  <si>
    <t>CETI MATIAS OLIMPIO - Reforma, Ampliação, Subestação e Climatização - SEDUC</t>
  </si>
  <si>
    <t>CENTRO DE CAPACITAÇÃO DE PROFISSIONAIS DA EDUCAÇÃO E ATENDIMENTO ÀS PESSOAS COM SURDEZ - CAS - Reforma e Construção de Quadra Poliesportiva- SEDUC</t>
  </si>
  <si>
    <t>UNACON-HGV - REFORMA E IMPLANTAÇÃO</t>
  </si>
  <si>
    <t>CETI DEPUTADO ALBERTO MONTEIRO - Reforma, Amplição e Construção de Quadra Poliesportiva- SEDUC</t>
  </si>
  <si>
    <t>RADIOLOGIA DO HOSPITAL GETÚLIO VARGAS - HGV - REFORMA E AMPLIAÇÃO - RENOVAÇÃO DE EQUIPAMENTOS</t>
  </si>
  <si>
    <t>PAVIMENTAÇÃO EM PARALELEPÍPEDO DE 11.669,58 M² NO MUNICÍPIO DE TERESINA- SECID</t>
  </si>
  <si>
    <t>REFORMA DO LABORATÓRIO CENTRAL – LACEN</t>
  </si>
  <si>
    <t>CETI MARIA MODESTINA BEZERRA - Reforma e Ampliação- SEDUC</t>
  </si>
  <si>
    <t>PAVIMENTAÇÃO EM PARALELEPÍPEDO DE 12.294,32 M² NO MUNICÍPIO DE TERESINA- SECID</t>
  </si>
  <si>
    <t>CENTRO DE ATENDIMENTO ÀS PESSOAS EM SITUAÇÃO VULNERAVEL - Reforma e Ampliação- SEDUC</t>
  </si>
  <si>
    <t>CETI PROFESSORA JULIA NUNES ALVES - Reforma e Ampliação- SEDUC</t>
  </si>
  <si>
    <t>CETI DR FONTES IBIAPINA - Reforma e Ampliação- SEDUC</t>
  </si>
  <si>
    <t>Pavimentação Asfáltica</t>
  </si>
  <si>
    <t>CETI SANTA FÉ - Reconstrução de Escola- SEDUC</t>
  </si>
  <si>
    <t>U E ANICOTA BURLAMAQUI - Reforma, Ampliação, Subestação e Climatização - SEDUC</t>
  </si>
  <si>
    <t>CETI CRISTINO CASTELO BRANCO - Construção de Quadra Poliesportiva, Laboratórios, Subestação e Climatização- SEDUC</t>
  </si>
  <si>
    <t>CETI DESEMBARGADOR HELI SOBRAL - Reforma e Ampliação- SEDUC</t>
  </si>
  <si>
    <t>ILHOTAS, CRISTO REI, SANTA MARIA DA CODIPI, SÃO JOAQUIM, MATADOURO, SATÉLITE, SOCOPO</t>
  </si>
  <si>
    <t>SUL, NORTE, LESTE</t>
  </si>
  <si>
    <t>CENTRO DE TRATAMENTO ÀS PESSOAS COM ESPECTRO AUTISTA DO PIAUÍ - CETEA - REFORMA E IMPLANTAÇÃO</t>
  </si>
  <si>
    <t>REFORMA DO AMBULATÓRIO E CENTRO CIRURGICO DO HOSPITAL DIRCEU ARCOVERDE DA POLÍCIA MILITAR – HPM (AMPLIAÇÃO DE 04 SALAS DE CIRURGIA)</t>
  </si>
  <si>
    <t>CENTRO CONVIVÊNCIA / PNEUMOLOGIA - HGV - REFORMA</t>
  </si>
  <si>
    <t>SÃO PEDRO, DIRCEU II, PARQUE VITORIA, GURUPI, VALE QUEM TEM, VILA MARIA I, PORTO ALEGRE, VILA BANDEIRANTE II, CIDADE INDUSTRIAL, EDGAR GAIOSO, ÁRVORES VERDE, PLANALTO,</t>
  </si>
  <si>
    <t>SUL, LESTE, NORTE</t>
  </si>
  <si>
    <t>TORQUATO NETO, SANTA MARIA DA CODIPI, SANTA CRUZ</t>
  </si>
  <si>
    <t>NOVA MATERNIDADE DONA EVANGELINA ROSA - CONSTRUÇÃO</t>
  </si>
  <si>
    <t>Municipio</t>
  </si>
  <si>
    <t>R$ 79 659,32</t>
  </si>
  <si>
    <t>Alto Alegre</t>
  </si>
  <si>
    <t>R$ 381 456,08</t>
  </si>
  <si>
    <t>CORPO BOMBEIROS (BELA VISTA) - SSP</t>
  </si>
  <si>
    <t>Bela Vista</t>
  </si>
  <si>
    <t>Sul</t>
  </si>
  <si>
    <t>R$ 4 830,00</t>
  </si>
  <si>
    <t>Norte</t>
  </si>
  <si>
    <t>CETI PROFESSOR FLORESTAN FERNANDES - Sala de saúde digital- SEDUC</t>
  </si>
  <si>
    <t>R$ 7 219,90</t>
  </si>
  <si>
    <t>Bom Principio</t>
  </si>
  <si>
    <t>Sudeste</t>
  </si>
  <si>
    <t>R$ 497 751,46</t>
  </si>
  <si>
    <t>R$ 231 384,91</t>
  </si>
  <si>
    <t>R$ 384 378,84</t>
  </si>
  <si>
    <t>Centro (Sul)</t>
  </si>
  <si>
    <t>CETI ZACARIAS DE GOIS - Manutenção Predial- SEDUC</t>
  </si>
  <si>
    <t>R$ 328 217,27</t>
  </si>
  <si>
    <t>ESCOLA DE TECNOLOGIA ENGENHEIRO SAMPAIO - Reforma e Ampliação- SEDUC</t>
  </si>
  <si>
    <t>R$ 2 889 587,18</t>
  </si>
  <si>
    <t>Centro/Sul</t>
  </si>
  <si>
    <t>R$ 409 738,00</t>
  </si>
  <si>
    <t>CETI JOÃO MENDES OLIMPIO DE MELO - Sala de saúde digital- SEDUC</t>
  </si>
  <si>
    <t>R$ 7 679,60</t>
  </si>
  <si>
    <t>Colorado</t>
  </si>
  <si>
    <t>R$ 337 697,48</t>
  </si>
  <si>
    <t>Cristo Rei</t>
  </si>
  <si>
    <t>R$ 901 174,62</t>
  </si>
  <si>
    <t>Dirceu I</t>
  </si>
  <si>
    <t>R$ 17 646,87</t>
  </si>
  <si>
    <t>R$ 262 934,68</t>
  </si>
  <si>
    <t>Esplanada</t>
  </si>
  <si>
    <t>PAVIMENTAÇÃO EM PARALELEPÍPEDO DE 2.556,00 M² NO MUNICÍPIO
DE TERESINA- SECID</t>
  </si>
  <si>
    <t>295 712,62</t>
  </si>
  <si>
    <t>CETI GERVASIO COSTA - CONSTRUÇÃO- SEDUC</t>
  </si>
  <si>
    <t>R$ 350 106,70</t>
  </si>
  <si>
    <t>Ilhotas</t>
  </si>
  <si>
    <t>R$ 419 645,93</t>
  </si>
  <si>
    <t>CENTRO INTEGRADO DE EDUCAÇÃO ESPECIAL - CIES TERESINA - Manutenção Predial- SEDUC</t>
  </si>
  <si>
    <t>R$ 495 230,12</t>
  </si>
  <si>
    <t>PAVIMENTAÇÃO EM PARALELEPÍPEDO DE 15.974,00 M² NO MUNICÍPIO DE TERESINA - SECID</t>
  </si>
  <si>
    <t>R$ 914 942,14</t>
  </si>
  <si>
    <t>Irmã Dulce, Santo Antônio, Assentamento Santa Nossa Esperança, Morro do Papagaio e Santa Teresa</t>
  </si>
  <si>
    <t>Sul e Rural</t>
  </si>
  <si>
    <t>CETI ANTÔNIO DE ALMENDRA FREITAS - Sala de saúde digital- SEDUC</t>
  </si>
  <si>
    <t>R$ 12 216,40</t>
  </si>
  <si>
    <t>Itararé</t>
  </si>
  <si>
    <t>R$ 1 655 287,00</t>
  </si>
  <si>
    <t>Lourival Parente, Porto do Centro, Verde Lar, Morada do Sol, Água Mineral e Vale Quem Tem</t>
  </si>
  <si>
    <t>Sul, Leste e Norte</t>
  </si>
  <si>
    <t>R$ 1 395 007,10</t>
  </si>
  <si>
    <t>Marquês de Paranaguá</t>
  </si>
  <si>
    <t>CETI JOEL RIBEIRO - Reforma, Ampliação e Cobertura de Quadra- SEDUC</t>
  </si>
  <si>
    <t>R$ 941 756,08</t>
  </si>
  <si>
    <t>Matadouro</t>
  </si>
  <si>
    <t>R$ 112 822,91</t>
  </si>
  <si>
    <t>Memorare</t>
  </si>
  <si>
    <t>R$ 221 260,02</t>
  </si>
  <si>
    <t>CENTRO DE ESTIMULAÇÃO PARA CRIANCAS COM DEFICIÊNCIA SENSORIAL AUDITIVA E VISUAL- CES - Reforma e Ampliação - SEDUC</t>
  </si>
  <si>
    <t>R$ 121 690,02</t>
  </si>
  <si>
    <t>Monte Castelo</t>
  </si>
  <si>
    <t>CETI MONSENHOR RAIMUNDO NONATO MELO - Reforma e Ampliação - SEDUC</t>
  </si>
  <si>
    <t>R$ 520 311,47</t>
  </si>
  <si>
    <t>Morada do Sol</t>
  </si>
  <si>
    <t>R$ 1 061 445,51</t>
  </si>
  <si>
    <t>Novo Horizonte, Cidade Industrial e Três Andares</t>
  </si>
  <si>
    <t>Sul, Sudeste e Norte</t>
  </si>
  <si>
    <t>CETI FREI HELIODORIO - Adaptação/Reforma de Laboratório de Informática- SEDUC</t>
  </si>
  <si>
    <t>R$ 90 249,24</t>
  </si>
  <si>
    <t>Parque Ideal</t>
  </si>
  <si>
    <t>CETI ESTADO DE SÃO PAULO - Serviços Gerais- SEDUC</t>
  </si>
  <si>
    <t>R$ 88 618,59</t>
  </si>
  <si>
    <t>Parque Piaui</t>
  </si>
  <si>
    <t>R$ 50 002,20</t>
  </si>
  <si>
    <t>Pedra Mole</t>
  </si>
  <si>
    <t>R$ 139 310,50</t>
  </si>
  <si>
    <t>Piçarra</t>
  </si>
  <si>
    <t>sul</t>
  </si>
  <si>
    <t>CETI MARIA MELO - Serviços Gerais- SEDUC</t>
  </si>
  <si>
    <t>R$ 111 506,40</t>
  </si>
  <si>
    <t>Planalto</t>
  </si>
  <si>
    <t>DECCOR - SSP</t>
  </si>
  <si>
    <t>Porenquanto</t>
  </si>
  <si>
    <t>PAVIMENTAÇÃO EM PARALELEPÍPEDO DE 4.445,00 M² NO MUNICÍPIO DE TERESINA - SECID</t>
  </si>
  <si>
    <t>Porto do Centro e Vale do Gavião</t>
  </si>
  <si>
    <t>R$ 34 887,12</t>
  </si>
  <si>
    <t>Poty Velho</t>
  </si>
  <si>
    <t>PAVIMENTAÇÃO EM PARALELEPÍPEDO DE 19,970,00 M² NO MUNICÍPIO DE TERESINA- SECID</t>
  </si>
  <si>
    <t>2 546 304,22</t>
  </si>
  <si>
    <t>Povoado Anajas, Povoado São Vicente de Cima, Povoado Fazenda Soares, Povoado São Geraldo, Povoado Santa Luz de Cima, Povoado Santa Luz de Baixo</t>
  </si>
  <si>
    <t>PAVIMENTAÇÃO EM PARALELEPÍPEDO DE 3.876,10 M² NO MUNICÍPIO DE TERESINA - SECID</t>
  </si>
  <si>
    <t>Povoado Soturno, Comunidade Soinho, Comunidade Tapuia e Comunidade Cacimba Velha</t>
  </si>
  <si>
    <t>R$ 483 204,24</t>
  </si>
  <si>
    <t>Saci</t>
  </si>
  <si>
    <t>PAVIMENTAÇÃO EM PARALELEPÍPEDO DE 31.909,00 M² NO MUNICÍPIO DE TERESINA- SECID</t>
  </si>
  <si>
    <t>3 996 913,76</t>
  </si>
  <si>
    <t>Santa Tereza, Boa Hora, Torquato Neto 3, Usina Santana, Angelim, Cerâmica Cil 01, Cerâmica Cil 02, Mario Covas, Povoado Fazenda Soares, Vale do Gavião, Palitolândia, Mafrense, Lourival Parente, Cristo Rei, Polo Sul, Bela Vista, Pedra Mole, Loteamento Porto Alegre, Basilar,</t>
  </si>
  <si>
    <t>Sul, Leste, Norte e Rural</t>
  </si>
  <si>
    <t>R$ 477 958,39</t>
  </si>
  <si>
    <t>Santo Antonio</t>
  </si>
  <si>
    <t>R$ 1 856 469,07</t>
  </si>
  <si>
    <t>São Sebastião, Ininga, Acarape, Parque Brasil e Parque Brasil II</t>
  </si>
  <si>
    <t>Sudeste, Leste e Norte</t>
  </si>
  <si>
    <t>UNIDADE INTEGRADA DA SEGURANÇA PÚBLICA - UISP LESTE 2 - SSP</t>
  </si>
  <si>
    <t>Vale Quem Tem</t>
  </si>
  <si>
    <t>R$ 2 521 894,23</t>
  </si>
  <si>
    <t>Verde Lar, Cidade Industrial, Vila Maria</t>
  </si>
  <si>
    <t>Leste e Norte</t>
  </si>
  <si>
    <t>R$ 295 701,41</t>
  </si>
  <si>
    <t>Vermelha</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</si>
</sst>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176" formatCode="_-* #,##0.00_-;\-* #,##0.00_-;_-* &quot;-&quot;??_-;_-@_-"/>
    <numFmt numFmtId="177" formatCode="_-&quot;R$&quot;\ * #,##0.00_-;\-&quot;R$&quot;\ * #,##0.00_-;_-&quot;R$&quot;\ * &quot;-&quot;??_-;_-@_-"/>
    <numFmt numFmtId="178" formatCode="_-* #,##0_-;\-* #,##0_-;_-* &quot;-&quot;_-;_-@_-"/>
    <numFmt numFmtId="179" formatCode="_-&quot;R$&quot;\ * #,##0_-;\-&quot;R$&quot;\ * #,##0_-;_-&quot;R$&quot;\ * &quot;-&quot;_-;_-@_-"/>
    <numFmt numFmtId="180" formatCode="&quot;R$&quot;\ #,##0.00;[Red]\-&quot;R$&quot;\ #,##0.00"/>
    <numFmt numFmtId="181" formatCode="d/m/yyyy"/>
    <numFmt numFmtId="182" formatCode="mm/yyyy"/>
    <numFmt numFmtId="183" formatCode="[$R$    ]#,##0.00"/>
  </numFmts>
  <fonts count="34">
    <font>
      <sz val="11"/>
      <color theme="1"/>
      <name val="Calibri"/>
      <charset val="134"/>
      <scheme val="minor"/>
    </font>
    <font>
      <b/>
      <sz val="11"/>
      <color theme="1"/>
      <name val="Calibri"/>
      <charset val="134"/>
    </font>
    <font>
      <sz val="11"/>
      <color theme="1"/>
      <name val="Calibri"/>
      <charset val="134"/>
    </font>
    <font>
      <sz val="10"/>
      <color theme="1"/>
      <name val="Arial"/>
      <charset val="134"/>
    </font>
    <font>
      <sz val="11"/>
      <color theme="1"/>
      <name val="Arial"/>
      <charset val="134"/>
    </font>
    <font>
      <sz val="11"/>
      <color rgb="FF1F1F1F"/>
      <name val="Calibri"/>
      <charset val="134"/>
    </font>
    <font>
      <b/>
      <sz val="11"/>
      <color rgb="FF000000"/>
      <name val="Calibri"/>
      <charset val="134"/>
    </font>
    <font>
      <b/>
      <u/>
      <sz val="11"/>
      <color rgb="FF000000"/>
      <name val="Calibri"/>
      <charset val="134"/>
    </font>
    <font>
      <sz val="11"/>
      <color rgb="FF000000"/>
      <name val="Calibri"/>
      <charset val="134"/>
    </font>
    <font>
      <u/>
      <sz val="11"/>
      <color rgb="FF0000FF"/>
      <name val="Calibri"/>
      <charset val="134"/>
    </font>
    <font>
      <b/>
      <sz val="11"/>
      <color theme="1"/>
      <name val="Calibri"/>
      <charset val="134"/>
      <scheme val="minor"/>
    </font>
    <font>
      <sz val="10"/>
      <color theme="1"/>
      <name val="Calibri"/>
      <charset val="134"/>
      <scheme val="minor"/>
    </font>
    <font>
      <sz val="11"/>
      <color theme="1"/>
      <name val="Calibri"/>
      <charset val="134"/>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1"/>
      <color rgb="FF1155CC"/>
      <name val="Calibri"/>
      <charset val="134"/>
    </font>
  </fonts>
  <fills count="34">
    <fill>
      <patternFill patternType="none"/>
    </fill>
    <fill>
      <patternFill patternType="gray125"/>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3" fillId="0" borderId="0" applyFont="0" applyFill="0" applyBorder="0" applyAlignment="0" applyProtection="0">
      <alignment vertical="center"/>
    </xf>
    <xf numFmtId="177" fontId="13" fillId="0" borderId="0" applyFont="0" applyFill="0" applyBorder="0" applyAlignment="0" applyProtection="0">
      <alignment vertical="center"/>
    </xf>
    <xf numFmtId="9" fontId="0" fillId="0" borderId="0" applyFont="0" applyFill="0" applyBorder="0" applyAlignment="0" applyProtection="0"/>
    <xf numFmtId="178" fontId="13" fillId="0" borderId="0" applyFont="0" applyFill="0" applyBorder="0" applyAlignment="0" applyProtection="0">
      <alignment vertical="center"/>
    </xf>
    <xf numFmtId="179"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3"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4" borderId="5" applyNumberFormat="0" applyAlignment="0" applyProtection="0">
      <alignment vertical="center"/>
    </xf>
    <xf numFmtId="0" fontId="23" fillId="5" borderId="6" applyNumberFormat="0" applyAlignment="0" applyProtection="0">
      <alignment vertical="center"/>
    </xf>
    <xf numFmtId="0" fontId="24" fillId="5" borderId="5" applyNumberFormat="0" applyAlignment="0" applyProtection="0">
      <alignment vertical="center"/>
    </xf>
    <xf numFmtId="0" fontId="25" fillId="6"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cellStyleXfs>
  <cellXfs count="64">
    <xf numFmtId="0" fontId="0" fillId="0" borderId="0" xfId="0"/>
    <xf numFmtId="0" fontId="1" fillId="2" borderId="0" xfId="0" applyFont="1" applyFill="1"/>
    <xf numFmtId="0" fontId="1" fillId="2" borderId="0" xfId="0" applyFont="1" applyFill="1" applyAlignment="1">
      <alignment horizontal="center" vertical="center"/>
    </xf>
    <xf numFmtId="0" fontId="2" fillId="0" borderId="0" xfId="0" applyFont="1"/>
    <xf numFmtId="0" fontId="2" fillId="0" borderId="0" xfId="0" applyFont="1" applyAlignment="1">
      <alignment horizontal="right"/>
    </xf>
    <xf numFmtId="0" fontId="2" fillId="0" borderId="0" xfId="0" applyFont="1" applyAlignment="1">
      <alignment horizontal="center" vertical="center"/>
    </xf>
    <xf numFmtId="0" fontId="3" fillId="0" borderId="0" xfId="0" applyFont="1"/>
    <xf numFmtId="0" fontId="3" fillId="0" borderId="0" xfId="0" applyFont="1" applyAlignment="1">
      <alignment horizontal="center"/>
    </xf>
    <xf numFmtId="0" fontId="2" fillId="0" borderId="0" xfId="0" applyFont="1" applyAlignment="1">
      <alignment vertical="center"/>
    </xf>
    <xf numFmtId="0" fontId="2" fillId="0" borderId="0" xfId="0" applyFont="1" applyAlignment="1">
      <alignment horizontal="center"/>
    </xf>
    <xf numFmtId="180" fontId="2" fillId="0" borderId="0" xfId="0" applyNumberFormat="1" applyFont="1" applyAlignment="1">
      <alignment horizontal="right"/>
    </xf>
    <xf numFmtId="0" fontId="3" fillId="0" borderId="0" xfId="0" applyFont="1" applyAlignment="1">
      <alignment horizontal="center" vertical="center"/>
    </xf>
    <xf numFmtId="0" fontId="0" fillId="0" borderId="0" xfId="0" applyAlignment="1">
      <alignment horizontal="center" vertical="center"/>
    </xf>
    <xf numFmtId="177" fontId="0" fillId="0" borderId="0" xfId="0" applyNumberFormat="1"/>
    <xf numFmtId="177" fontId="1" fillId="2" borderId="0" xfId="0" applyNumberFormat="1" applyFont="1" applyFill="1" applyAlignment="1">
      <alignment horizontal="center" vertical="center"/>
    </xf>
    <xf numFmtId="0" fontId="2" fillId="0" borderId="0" xfId="0" applyFont="1" applyAlignment="1">
      <alignment vertical="top" wrapText="1"/>
    </xf>
    <xf numFmtId="0" fontId="2" fillId="0" borderId="0" xfId="0" applyFont="1" applyAlignment="1">
      <alignment wrapText="1"/>
    </xf>
    <xf numFmtId="0" fontId="4" fillId="0" borderId="0" xfId="0" applyFont="1" applyAlignment="1">
      <alignment wrapText="1"/>
    </xf>
    <xf numFmtId="177" fontId="2" fillId="0" borderId="0" xfId="0" applyNumberFormat="1" applyFont="1" applyAlignment="1">
      <alignment horizontal="right" wrapText="1"/>
    </xf>
    <xf numFmtId="0" fontId="2" fillId="0" borderId="0" xfId="0" applyFont="1" applyAlignment="1">
      <alignment horizontal="center" vertical="center" wrapText="1"/>
    </xf>
    <xf numFmtId="0" fontId="2" fillId="0" borderId="0" xfId="0" applyFont="1" applyAlignment="1">
      <alignment horizontal="center" wrapText="1"/>
    </xf>
    <xf numFmtId="177" fontId="2" fillId="0" borderId="0" xfId="0" applyNumberFormat="1" applyFont="1" applyAlignment="1">
      <alignment horizontal="center" wrapText="1"/>
    </xf>
    <xf numFmtId="0" fontId="5" fillId="0" borderId="0" xfId="0" applyFont="1" applyAlignment="1">
      <alignment horizontal="center" wrapText="1"/>
    </xf>
    <xf numFmtId="58" fontId="2" fillId="0" borderId="0" xfId="0" applyNumberFormat="1" applyFont="1" applyAlignment="1">
      <alignment horizontal="right" wrapText="1"/>
    </xf>
    <xf numFmtId="0" fontId="2" fillId="0" borderId="0" xfId="0" applyFont="1" applyAlignment="1">
      <alignment horizontal="right" wrapText="1"/>
    </xf>
    <xf numFmtId="177" fontId="4" fillId="0" borderId="0" xfId="0" applyNumberFormat="1" applyFont="1" applyAlignment="1">
      <alignment wrapText="1"/>
    </xf>
    <xf numFmtId="0" fontId="6" fillId="2" borderId="0" xfId="0" applyFont="1" applyFill="1" applyAlignment="1">
      <alignment horizontal="center"/>
    </xf>
    <xf numFmtId="0" fontId="7" fillId="2" borderId="0" xfId="0" applyFont="1" applyFill="1" applyAlignment="1">
      <alignment horizontal="center"/>
    </xf>
    <xf numFmtId="0" fontId="8" fillId="0" borderId="0" xfId="0" applyFont="1" applyAlignment="1">
      <alignment horizontal="left"/>
    </xf>
    <xf numFmtId="0" fontId="9" fillId="0" borderId="0" xfId="0" applyFont="1" applyAlignment="1">
      <alignment horizontal="left"/>
    </xf>
    <xf numFmtId="177" fontId="8" fillId="0" borderId="0" xfId="0" applyNumberFormat="1" applyFont="1" applyAlignment="1">
      <alignment horizontal="left"/>
    </xf>
    <xf numFmtId="181" fontId="8" fillId="0" borderId="0" xfId="0" applyNumberFormat="1" applyFont="1" applyAlignment="1">
      <alignment horizontal="left"/>
    </xf>
    <xf numFmtId="58" fontId="8" fillId="0" borderId="0" xfId="0" applyNumberFormat="1" applyFont="1" applyAlignment="1">
      <alignment horizontal="left"/>
    </xf>
    <xf numFmtId="182" fontId="8" fillId="0" borderId="0" xfId="0" applyNumberFormat="1" applyFont="1" applyAlignment="1">
      <alignment horizontal="left"/>
    </xf>
    <xf numFmtId="10" fontId="8" fillId="0" borderId="0" xfId="0" applyNumberFormat="1" applyFont="1" applyAlignment="1">
      <alignment horizontal="left"/>
    </xf>
    <xf numFmtId="11" fontId="8" fillId="0" borderId="0" xfId="0" applyNumberFormat="1" applyFont="1" applyAlignment="1">
      <alignment horizontal="left"/>
    </xf>
    <xf numFmtId="0" fontId="10" fillId="0" borderId="0" xfId="0" applyFont="1"/>
    <xf numFmtId="0" fontId="1" fillId="2" borderId="1" xfId="0" applyFont="1" applyFill="1" applyBorder="1"/>
    <xf numFmtId="183" fontId="1" fillId="2" borderId="1" xfId="0" applyNumberFormat="1" applyFont="1" applyFill="1" applyBorder="1"/>
    <xf numFmtId="181" fontId="2" fillId="0" borderId="0" xfId="0" applyNumberFormat="1" applyFont="1" applyAlignment="1">
      <alignment horizontal="right"/>
    </xf>
    <xf numFmtId="183" fontId="2" fillId="0" borderId="0" xfId="0" applyNumberFormat="1" applyFont="1" applyAlignment="1">
      <alignment horizontal="right"/>
    </xf>
    <xf numFmtId="9" fontId="2" fillId="0" borderId="0" xfId="0" applyNumberFormat="1" applyFont="1" applyAlignment="1">
      <alignment horizontal="right"/>
    </xf>
    <xf numFmtId="10" fontId="2" fillId="0" borderId="0" xfId="0" applyNumberFormat="1" applyFont="1" applyAlignment="1">
      <alignment horizontal="right"/>
    </xf>
    <xf numFmtId="58" fontId="2" fillId="0" borderId="0" xfId="0" applyNumberFormat="1" applyFont="1" applyAlignment="1">
      <alignment horizontal="right"/>
    </xf>
    <xf numFmtId="183" fontId="2" fillId="0" borderId="0" xfId="0" applyNumberFormat="1" applyFont="1"/>
    <xf numFmtId="0" fontId="2" fillId="0" borderId="0" xfId="0" applyFont="1" applyAlignment="1">
      <alignment horizontal="right" vertical="center"/>
    </xf>
    <xf numFmtId="58" fontId="2" fillId="0" borderId="0" xfId="0" applyNumberFormat="1" applyFont="1" applyAlignment="1">
      <alignment horizontal="right" vertical="center"/>
    </xf>
    <xf numFmtId="183" fontId="2" fillId="0" borderId="0" xfId="0" applyNumberFormat="1" applyFont="1" applyAlignment="1">
      <alignment horizontal="right" vertical="center"/>
    </xf>
    <xf numFmtId="9" fontId="2" fillId="0" borderId="0" xfId="0" applyNumberFormat="1" applyFont="1" applyAlignment="1">
      <alignment horizontal="right" vertical="center"/>
    </xf>
    <xf numFmtId="10" fontId="2" fillId="0" borderId="0" xfId="0" applyNumberFormat="1" applyFont="1" applyAlignment="1">
      <alignment horizontal="right" vertical="center"/>
    </xf>
    <xf numFmtId="0" fontId="11" fillId="0" borderId="0" xfId="0" applyFont="1" applyAlignment="1">
      <alignment horizontal="center" vertical="center"/>
    </xf>
    <xf numFmtId="0" fontId="10" fillId="0" borderId="0" xfId="0" applyFont="1" applyAlignment="1">
      <alignment horizontal="center" vertical="center"/>
    </xf>
    <xf numFmtId="0" fontId="1" fillId="2" borderId="1" xfId="0" applyFont="1" applyFill="1" applyBorder="1" applyAlignment="1">
      <alignment horizontal="center" vertical="center"/>
    </xf>
    <xf numFmtId="183" fontId="1" fillId="2" borderId="1" xfId="0" applyNumberFormat="1" applyFont="1" applyFill="1" applyBorder="1" applyAlignment="1">
      <alignment horizontal="center" vertical="center"/>
    </xf>
    <xf numFmtId="0" fontId="12" fillId="0" borderId="0" xfId="0" applyFont="1" applyAlignment="1">
      <alignment horizontal="right"/>
    </xf>
    <xf numFmtId="0" fontId="12" fillId="0" borderId="0" xfId="0" applyFont="1"/>
    <xf numFmtId="183" fontId="12" fillId="0" borderId="0" xfId="0" applyNumberFormat="1" applyFont="1" applyAlignment="1">
      <alignment horizontal="right"/>
    </xf>
    <xf numFmtId="9" fontId="12" fillId="0" borderId="0" xfId="0" applyNumberFormat="1" applyFont="1" applyAlignment="1">
      <alignment horizontal="right"/>
    </xf>
    <xf numFmtId="10" fontId="12" fillId="0" borderId="0" xfId="3" applyNumberFormat="1" applyFont="1" applyAlignment="1">
      <alignment horizontal="right"/>
    </xf>
    <xf numFmtId="58" fontId="12" fillId="0" borderId="0" xfId="0" applyNumberFormat="1" applyFont="1" applyAlignment="1">
      <alignment horizontal="right"/>
    </xf>
    <xf numFmtId="181" fontId="12" fillId="0" borderId="0" xfId="0" applyNumberFormat="1" applyFont="1" applyAlignment="1">
      <alignment horizontal="right"/>
    </xf>
    <xf numFmtId="10" fontId="12" fillId="0" borderId="0" xfId="0" applyNumberFormat="1" applyFont="1" applyAlignment="1">
      <alignment horizontal="right"/>
    </xf>
    <xf numFmtId="183" fontId="12" fillId="0" borderId="0" xfId="0" applyNumberFormat="1" applyFont="1"/>
    <xf numFmtId="0" fontId="13" fillId="0" borderId="0" xfId="0" applyFont="1"/>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BRAS%20POR%20ZONA%20-%20TERESINA.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ONCLUÍDA"/>
      <sheetName val="Cópia de CONCLUÍDA"/>
      <sheetName val="EXECUÇÃO"/>
      <sheetName val="Cópia de EXECUÇÃO"/>
      <sheetName val="CONVÊNIO"/>
      <sheetName val="TDs - CONCLUÍDAS"/>
      <sheetName val="TDs - EXECUÇÃO"/>
      <sheetName val="bairros (lucas)"/>
      <sheetName val="bairros (execu)"/>
      <sheetName val="bairros (concluidas)"/>
    </sheetNames>
    <sheetDataSet>
      <sheetData sheetId="0"/>
      <sheetData sheetId="1"/>
      <sheetData sheetId="2"/>
      <sheetData sheetId="3"/>
      <sheetData sheetId="4"/>
      <sheetData sheetId="5"/>
      <sheetData sheetId="6"/>
      <sheetData sheetId="7"/>
      <sheetData sheetId="8">
        <row r="1">
          <cell r="A1" t="str">
            <v>id_acao</v>
          </cell>
          <cell r="B1" t="str">
            <v>dt criação</v>
          </cell>
          <cell r="C1" t="str">
            <v>estagio</v>
          </cell>
          <cell r="D1" t="str">
            <v>dt inicio</v>
          </cell>
          <cell r="E1" t="str">
            <v>dt fim</v>
          </cell>
          <cell r="F1" t="str">
            <v>orgão</v>
          </cell>
          <cell r="G1" t="str">
            <v>nome açao</v>
          </cell>
          <cell r="H1" t="str">
            <v>status</v>
          </cell>
          <cell r="I1" t="str">
            <v>conclusão</v>
          </cell>
          <cell r="J1" t="str">
            <v>estagio atual</v>
          </cell>
          <cell r="K1" t="str">
            <v>classificação</v>
          </cell>
          <cell r="L1" t="str">
            <v>sub, classificação</v>
          </cell>
          <cell r="M1" t="str">
            <v>tipologia</v>
          </cell>
          <cell r="N1" t="str">
            <v>bairro</v>
          </cell>
          <cell r="O1" t="str">
            <v>zona</v>
          </cell>
        </row>
        <row r="2">
          <cell r="A2">
            <v>14756</v>
          </cell>
          <cell r="B2">
            <v>45782</v>
          </cell>
          <cell r="C2" t="str">
            <v>Em execução</v>
          </cell>
          <cell r="D2">
            <v>46020</v>
          </cell>
          <cell r="E2">
            <v>46110</v>
          </cell>
          <cell r="F2" t="str">
            <v>SEFIR</v>
          </cell>
          <cell r="G2" t="str">
            <v>EXECUÇÃO DE PAVIMENTAÇÃO EM PARALELEPÍPEDO NO BAIRRO ANGELIN, LOCALIDADE SANTA TERESA E NA LOCALIDADE POLO SUL INDUSTRIAL, NO MUNICÍPIO DE TERESINA – PI, EXTENSÃO 7.296,00 M²</v>
          </cell>
          <cell r="H2" t="str">
            <v>Em desenvolvimento</v>
          </cell>
          <cell r="I2">
            <v>46110</v>
          </cell>
          <cell r="J2" t="str">
            <v>EM EXECUÇÃO</v>
          </cell>
          <cell r="K2" t="str">
            <v>OBRA</v>
          </cell>
          <cell r="L2" t="str">
            <v>PAVIMENTAÇÃO EM PARALELEPÍPEDO</v>
          </cell>
          <cell r="M2" t="str">
            <v>RUA</v>
          </cell>
          <cell r="N2" t="str">
            <v>ANGELIM</v>
          </cell>
          <cell r="O2" t="str">
            <v>ZONA SUL</v>
          </cell>
        </row>
        <row r="3">
          <cell r="A3">
            <v>14777</v>
          </cell>
          <cell r="B3">
            <v>45784</v>
          </cell>
          <cell r="C3" t="str">
            <v>Em execução</v>
          </cell>
          <cell r="D3">
            <v>45945</v>
          </cell>
          <cell r="E3">
            <v>46185</v>
          </cell>
          <cell r="F3" t="str">
            <v>SDE</v>
          </cell>
          <cell r="G3" t="str">
            <v>OPA Nº 0114 - REFORMA DO POLO ARTESANAL DO BAIRRO BOM PRINCÍPIO - REGIÃO "DEUS QUER" TERESINA PI</v>
          </cell>
          <cell r="H3" t="str">
            <v>Em desenvolvimento</v>
          </cell>
          <cell r="I3">
            <v>46185</v>
          </cell>
          <cell r="J3" t="str">
            <v>EM EXECUÇÃO</v>
          </cell>
          <cell r="K3" t="str">
            <v>OBRA</v>
          </cell>
          <cell r="L3" t="str">
            <v>REFORMA</v>
          </cell>
          <cell r="M3" t="str">
            <v>OUTRO</v>
          </cell>
          <cell r="N3" t="str">
            <v>BOM PRINCÍPIO</v>
          </cell>
          <cell r="O3" t="str">
            <v>ZONA SULDESTE</v>
          </cell>
        </row>
        <row r="4">
          <cell r="A4">
            <v>15477</v>
          </cell>
          <cell r="B4">
            <v>45890</v>
          </cell>
          <cell r="C4" t="str">
            <v>Em execução</v>
          </cell>
          <cell r="D4">
            <v>46035</v>
          </cell>
          <cell r="E4">
            <v>46215</v>
          </cell>
          <cell r="F4" t="str">
            <v>SECULT</v>
          </cell>
          <cell r="G4" t="str">
            <v>OPA ID 404 (2024/2025) - CONSTRUÇÃO DE BIBLIOTECA NO BAIRRO BUENOS AIRES, TERESINA - PI</v>
          </cell>
          <cell r="H4" t="str">
            <v>Em desenvolvimento</v>
          </cell>
          <cell r="I4">
            <v>46215</v>
          </cell>
          <cell r="J4" t="str">
            <v>EM EXECUÇÃO</v>
          </cell>
          <cell r="K4" t="str">
            <v>OBRA</v>
          </cell>
          <cell r="L4" t="str">
            <v>CONSTRUÇÃO</v>
          </cell>
          <cell r="M4" t="str">
            <v>EQUIPAMENTO CULTURAL</v>
          </cell>
          <cell r="N4" t="str">
            <v>BUENOS AIRES</v>
          </cell>
          <cell r="O4" t="str">
            <v>ZONA NORTE</v>
          </cell>
        </row>
        <row r="5">
          <cell r="A5">
            <v>13904</v>
          </cell>
          <cell r="B5">
            <v>45481</v>
          </cell>
          <cell r="C5" t="str">
            <v>Em execução</v>
          </cell>
          <cell r="D5">
            <v>45502</v>
          </cell>
          <cell r="E5">
            <v>46203</v>
          </cell>
          <cell r="F5" t="str">
            <v>SECULT</v>
          </cell>
          <cell r="G5" t="str">
            <v>OPA - ID 394 - CONTRATAÇÃO DE EMPRESA DE ENGENHARIA PARA CONSTRUÇÃO DA BIBLIOTECA DO ESPLANADA (2023-2024)</v>
          </cell>
          <cell r="H5" t="str">
            <v>Em desenvolvimento</v>
          </cell>
          <cell r="I5">
            <v>46203</v>
          </cell>
          <cell r="J5" t="str">
            <v>EM EXECUÇÃO</v>
          </cell>
          <cell r="K5" t="str">
            <v>OBRA</v>
          </cell>
          <cell r="L5" t="str">
            <v>CONSTRUÇÃO</v>
          </cell>
          <cell r="M5" t="str">
            <v>EQUIPAMENTO CULTURAL</v>
          </cell>
          <cell r="N5" t="str">
            <v>ESPLANADA</v>
          </cell>
          <cell r="O5" t="str">
            <v>ZONA SUL</v>
          </cell>
        </row>
        <row r="6">
          <cell r="A6">
            <v>14839</v>
          </cell>
          <cell r="B6">
            <v>45793</v>
          </cell>
          <cell r="C6" t="str">
            <v>Em execução</v>
          </cell>
          <cell r="D6">
            <v>46028</v>
          </cell>
          <cell r="E6">
            <v>46148</v>
          </cell>
          <cell r="F6" t="str">
            <v>CDTER</v>
          </cell>
          <cell r="G6" t="str">
            <v>REFORMA DO GINÁSIO POLIESPORTIVO PETRÔNIO SOUSA VASCONCELOS, LOCALIZADO NA RUA SEIS, RESIDENCIAL MARIA LUIZA PARENTE, 20 - LOURIVAL PARENTE, TERESINA - PI. TOTALIZANDO 4.500,00 M²</v>
          </cell>
          <cell r="H6" t="str">
            <v>Em desenvolvimento</v>
          </cell>
          <cell r="I6">
            <v>46148</v>
          </cell>
          <cell r="J6" t="str">
            <v>EM EXECUÇÃO</v>
          </cell>
          <cell r="K6" t="str">
            <v>OBRA</v>
          </cell>
          <cell r="L6" t="str">
            <v>AMPLIAÇÃO||REFORMA</v>
          </cell>
          <cell r="M6" t="str">
            <v>ESPAÇO E EQUIPAMENTO DE ESPORTE E LAZER</v>
          </cell>
          <cell r="N6" t="str">
            <v>LOURIVAL PARENTE</v>
          </cell>
          <cell r="O6" t="str">
            <v>ZONA SUL</v>
          </cell>
        </row>
        <row r="7">
          <cell r="A7">
            <v>14773</v>
          </cell>
          <cell r="B7">
            <v>45784</v>
          </cell>
          <cell r="C7" t="str">
            <v>Em execução</v>
          </cell>
          <cell r="D7">
            <v>46035</v>
          </cell>
          <cell r="E7">
            <v>46215</v>
          </cell>
          <cell r="F7" t="str">
            <v>SECULT</v>
          </cell>
          <cell r="G7" t="str">
            <v>OPA ID 1244 (2024/2025) - REFORMA DE VIDEOTECA EM BAIRRO MATADOURO, TERESINA - PI</v>
          </cell>
          <cell r="H7" t="str">
            <v>Em desenvolvimento</v>
          </cell>
          <cell r="I7">
            <v>46215</v>
          </cell>
          <cell r="J7" t="str">
            <v>EM EXECUÇÃO</v>
          </cell>
          <cell r="K7" t="str">
            <v>OBRA</v>
          </cell>
          <cell r="L7" t="str">
            <v>REFORMA</v>
          </cell>
          <cell r="M7" t="str">
            <v>EQUIPAMENTO CULTURAL</v>
          </cell>
          <cell r="N7" t="str">
            <v>MATADOURO</v>
          </cell>
          <cell r="O7" t="str">
            <v>ZONA NORTE</v>
          </cell>
        </row>
        <row r="8">
          <cell r="A8">
            <v>14775</v>
          </cell>
          <cell r="B8">
            <v>45784</v>
          </cell>
          <cell r="C8" t="str">
            <v>Em execução</v>
          </cell>
          <cell r="D8">
            <v>45945</v>
          </cell>
          <cell r="E8">
            <v>46185</v>
          </cell>
          <cell r="F8" t="str">
            <v>SDE</v>
          </cell>
          <cell r="G8" t="str">
            <v>OPA Nº 0821 - CONSTRUÇÃO DO POLO ARTESANAL DO BAIRRO PIÇARREIRA I - TERESINA PI</v>
          </cell>
          <cell r="H8" t="str">
            <v>Em desenvolvimento</v>
          </cell>
          <cell r="I8">
            <v>46185</v>
          </cell>
          <cell r="J8" t="str">
            <v>EM EXECUÇÃO</v>
          </cell>
          <cell r="K8" t="str">
            <v>OBRA</v>
          </cell>
          <cell r="L8" t="str">
            <v>CONSTRUÇÃO</v>
          </cell>
          <cell r="M8" t="str">
            <v>OUTRO</v>
          </cell>
          <cell r="N8" t="str">
            <v>PIÇARREIRA</v>
          </cell>
          <cell r="O8" t="str">
            <v>ZONA LESTE</v>
          </cell>
        </row>
        <row r="9">
          <cell r="A9">
            <v>14834</v>
          </cell>
          <cell r="B9">
            <v>45792</v>
          </cell>
          <cell r="C9" t="str">
            <v>Em execução</v>
          </cell>
          <cell r="D9">
            <v>45197</v>
          </cell>
          <cell r="E9">
            <v>45227</v>
          </cell>
          <cell r="F9" t="str">
            <v>SEINFRA</v>
          </cell>
          <cell r="G9" t="str">
            <v>PAVIMENTAÇÃO ASFÁLTICA NO RESIDENCIAL TORQUATO NETO-PORTAL DA ALEGRIA-AS. 8.800,00 M² - OPA - PLANO DE TRABALHO N°02 | TD 04</v>
          </cell>
          <cell r="H9" t="str">
            <v>Em desenvolvimento</v>
          </cell>
          <cell r="I9">
            <v>45227</v>
          </cell>
          <cell r="J9" t="str">
            <v>EM EXECUÇÃO</v>
          </cell>
          <cell r="K9" t="str">
            <v>OBRA</v>
          </cell>
          <cell r="L9" t="str">
            <v>PAVIMENTAÇÃO ASFÁLTICA</v>
          </cell>
          <cell r="M9" t="str">
            <v>RUA</v>
          </cell>
          <cell r="N9" t="str">
            <v>PORTAL DA ALEGRIA</v>
          </cell>
          <cell r="O9" t="str">
            <v>ZONA SUL</v>
          </cell>
        </row>
        <row r="10">
          <cell r="A10">
            <v>15507</v>
          </cell>
          <cell r="B10">
            <v>45893</v>
          </cell>
          <cell r="C10" t="str">
            <v>Em execução</v>
          </cell>
          <cell r="D10">
            <v>46036</v>
          </cell>
          <cell r="E10">
            <v>46216</v>
          </cell>
          <cell r="F10" t="str">
            <v>SECULT</v>
          </cell>
          <cell r="G10" t="str">
            <v>OPA ID 377 (2024/2025) - CONSTRUÇÃO DE BIBLIOTECA NO BAIRRO SANTA MARIA, EM TERESINA - PI</v>
          </cell>
          <cell r="H10" t="str">
            <v>Em desenvolvimento</v>
          </cell>
          <cell r="I10">
            <v>46216</v>
          </cell>
          <cell r="J10" t="str">
            <v>EM EXECUÇÃO</v>
          </cell>
          <cell r="K10" t="str">
            <v>OBRA</v>
          </cell>
          <cell r="L10" t="str">
            <v>CONSTRUÇÃO</v>
          </cell>
          <cell r="M10" t="str">
            <v>EQUIPAMENTO CULTURAL</v>
          </cell>
          <cell r="N10" t="str">
            <v>SANTA MARIA</v>
          </cell>
          <cell r="O10" t="str">
            <v>ZONA NORTE</v>
          </cell>
        </row>
        <row r="11">
          <cell r="A11">
            <v>14831</v>
          </cell>
          <cell r="B11">
            <v>45792</v>
          </cell>
          <cell r="C11" t="str">
            <v>Em execução</v>
          </cell>
          <cell r="D11">
            <v>45301</v>
          </cell>
          <cell r="E11">
            <v>45361</v>
          </cell>
          <cell r="F11" t="str">
            <v>SEINFRA</v>
          </cell>
          <cell r="G11" t="str">
            <v>PAVIMENTAÇÃO ASFÁLTICA NA SANTA MARIA DA CODIPESANTA MARIA-AS. DOS MORADORES DA SANTA MARIA DA CODIPI 26.956,24 M² OPA - PLANO DE TRABALHO N°02 | TD04</v>
          </cell>
          <cell r="H11" t="str">
            <v>Em desenvolvimento</v>
          </cell>
          <cell r="I11">
            <v>45361</v>
          </cell>
          <cell r="J11" t="str">
            <v>EM EXECUÇÃO</v>
          </cell>
          <cell r="K11" t="str">
            <v>OBRA</v>
          </cell>
          <cell r="L11" t="str">
            <v>PAVIMENTAÇÃO ASFÁLTICA</v>
          </cell>
          <cell r="M11" t="str">
            <v>RUA</v>
          </cell>
          <cell r="N11" t="str">
            <v>SANTA MARIA DA CODIPI</v>
          </cell>
          <cell r="O11" t="str">
            <v>ZONA NORTE</v>
          </cell>
        </row>
        <row r="12">
          <cell r="A12">
            <v>14776</v>
          </cell>
          <cell r="B12">
            <v>45784</v>
          </cell>
          <cell r="C12" t="str">
            <v>Em execução</v>
          </cell>
          <cell r="D12">
            <v>45945</v>
          </cell>
          <cell r="E12">
            <v>46185</v>
          </cell>
          <cell r="F12" t="str">
            <v>SDE</v>
          </cell>
          <cell r="G12" t="str">
            <v>OPA Nº 0184 - CONSTRUÇÃO DO POLO ARTESANAL DO BAIRRO SATÉLITE - TERESINA PI</v>
          </cell>
          <cell r="H12" t="str">
            <v>Em desenvolvimento</v>
          </cell>
          <cell r="I12">
            <v>46185</v>
          </cell>
          <cell r="J12" t="str">
            <v>EM EXECUÇÃO</v>
          </cell>
          <cell r="K12" t="str">
            <v>OBRA</v>
          </cell>
          <cell r="L12" t="str">
            <v>CONSTRUÇÃO</v>
          </cell>
          <cell r="M12" t="str">
            <v>OUTRO</v>
          </cell>
          <cell r="N12" t="str">
            <v>SATÉLITE</v>
          </cell>
          <cell r="O12" t="str">
            <v>ZONA LESTE</v>
          </cell>
        </row>
        <row r="13">
          <cell r="A13">
            <v>15388</v>
          </cell>
          <cell r="B13">
            <v>45874</v>
          </cell>
          <cell r="C13" t="str">
            <v>Em execução</v>
          </cell>
          <cell r="D13">
            <v>46037</v>
          </cell>
          <cell r="E13">
            <v>46127</v>
          </cell>
          <cell r="F13" t="str">
            <v>CFLP</v>
          </cell>
          <cell r="G13" t="str">
            <v>IMPLANTAÇÃO DE 6.798 M² DE PAVIMENTAÇÃO EM PARALELEPÍPEDO NO MUNICÍPIO DE TERESINA</v>
          </cell>
          <cell r="H13" t="str">
            <v>Em desenvolvimento</v>
          </cell>
          <cell r="I13">
            <v>46127</v>
          </cell>
          <cell r="J13" t="str">
            <v>EM EXECUÇÃO</v>
          </cell>
          <cell r="K13" t="str">
            <v>OBRA</v>
          </cell>
          <cell r="L13" t="str">
            <v>PAVIMENTAÇÃO EM PARALELEPÍPEDO</v>
          </cell>
          <cell r="M13" t="str">
            <v>RUA</v>
          </cell>
          <cell r="N13" t="str">
            <v>Porto do centro</v>
          </cell>
          <cell r="O13" t="str">
            <v>ZONA LESTE</v>
          </cell>
        </row>
        <row r="14">
          <cell r="A14">
            <v>12007</v>
          </cell>
          <cell r="B14">
            <v>45233</v>
          </cell>
          <cell r="C14" t="str">
            <v>Em execução</v>
          </cell>
          <cell r="D14">
            <v>45401</v>
          </cell>
          <cell r="E14">
            <v>46841</v>
          </cell>
          <cell r="F14" t="str">
            <v>DER</v>
          </cell>
          <cell r="G14" t="str">
            <v>EXECUÇÃO DO PROGRAMA DE FORTALECIMENTO DA MANUTENÇÃO PERMANENTE E SEGURANÇA DAS RODOVIAS ESTADUAIS, CONTEMPLADAS NO TERRITÓRIO DE DESENVOLVIMENTO ENTRE RIOS TD-04</v>
          </cell>
          <cell r="H14" t="str">
            <v>Em desenvolvimento</v>
          </cell>
          <cell r="I14">
            <v>46841</v>
          </cell>
          <cell r="J14" t="str">
            <v>EM EXECUÇÃO</v>
          </cell>
          <cell r="K14" t="str">
            <v>OBRA</v>
          </cell>
          <cell r="L14" t="str">
            <v>MANUTENÇÃO/CONSERVAÇÃO</v>
          </cell>
          <cell r="M14" t="str">
            <v>RODOVIA</v>
          </cell>
        </row>
        <row r="14">
          <cell r="O14" t="str">
            <v>ZONA LESTE, NORTE, SUL</v>
          </cell>
        </row>
        <row r="15">
          <cell r="A15">
            <v>15290</v>
          </cell>
          <cell r="B15">
            <v>45866</v>
          </cell>
          <cell r="C15" t="str">
            <v>Em execução</v>
          </cell>
          <cell r="D15">
            <v>46043</v>
          </cell>
          <cell r="E15">
            <v>46773</v>
          </cell>
          <cell r="F15" t="str">
            <v>DER</v>
          </cell>
          <cell r="G15" t="str">
            <v>EXECUÇÃO DE 1.462.800,00 M2 DE PAVIMENTAÇÃO ASFÁLTICA NOS MUNICÍPIOS LOCALIZADOS NO TERRITÓRIO DE DESENVOLVIMENTO ENTRE RIOS - TD 04 (MOBILIDADE URBANA)</v>
          </cell>
          <cell r="H15" t="str">
            <v>Em desenvolvimento</v>
          </cell>
          <cell r="I15">
            <v>46773</v>
          </cell>
          <cell r="J15" t="str">
            <v>EM EXECUÇÃO</v>
          </cell>
          <cell r="K15" t="str">
            <v>OBRA</v>
          </cell>
          <cell r="L15" t="str">
            <v>CONSTRUÇÃO||IMPLANTAÇÃO</v>
          </cell>
          <cell r="M15" t="str">
            <v>RUA</v>
          </cell>
        </row>
        <row r="16">
          <cell r="A16">
            <v>15004</v>
          </cell>
          <cell r="B16">
            <v>45824</v>
          </cell>
          <cell r="C16" t="str">
            <v>Em execução</v>
          </cell>
          <cell r="D16">
            <v>45967</v>
          </cell>
          <cell r="E16">
            <v>46327</v>
          </cell>
          <cell r="F16" t="str">
            <v>IDEPI</v>
          </cell>
          <cell r="G16" t="str">
            <v>PAVIMENTAÇÃO EM PARALELEPIPEDO DE VIAS PUBLICAS NAS CIDADES DE SIGEFREDO PACHECO, CAPITÃO DE CAMPOS, MORRO CABEÇA DO TEMPO, SUSSUAPARA, LAGOA DO SÍTIO, PEDRO II, TERESINA E PICOS-PI, COM ÁREA TOTAL DE 60.674,79 M².</v>
          </cell>
          <cell r="H16" t="str">
            <v>Em desenvolvimento</v>
          </cell>
          <cell r="I16">
            <v>46327</v>
          </cell>
          <cell r="J16" t="str">
            <v>EM EXECUÇÃO</v>
          </cell>
          <cell r="K16" t="str">
            <v>OBRA</v>
          </cell>
          <cell r="L16" t="str">
            <v>IMPLANTAÇÃO||PAVIMENTAÇÃO EM PARALELEPÍPEDO</v>
          </cell>
          <cell r="M16" t="str">
            <v>RUA</v>
          </cell>
        </row>
        <row r="17">
          <cell r="A17">
            <v>14915</v>
          </cell>
          <cell r="B17">
            <v>45806</v>
          </cell>
          <cell r="C17" t="str">
            <v>Em execução</v>
          </cell>
          <cell r="D17">
            <v>45807</v>
          </cell>
          <cell r="E17">
            <v>45867</v>
          </cell>
          <cell r="F17" t="str">
            <v>IDEPI</v>
          </cell>
          <cell r="G17" t="str">
            <v>PAVIMENTAÇÃO ASFÁLTICA DE VIAS, LIGANDO A REGIÃO DO TORQUATO NETO A COMUNIDADE TORRÕES, NO MUNICÍPIO DE TERESINA - OPA</v>
          </cell>
          <cell r="H17" t="str">
            <v>Em desenvolvimento</v>
          </cell>
          <cell r="I17">
            <v>45867</v>
          </cell>
          <cell r="J17" t="str">
            <v>EM EXECUÇÃO</v>
          </cell>
          <cell r="K17" t="str">
            <v>OBRA</v>
          </cell>
          <cell r="L17" t="str">
            <v>PAVIMENTAÇÃO ASFÁLTICA</v>
          </cell>
          <cell r="M17" t="str">
            <v>RUA</v>
          </cell>
          <cell r="N17" t="str">
            <v>TORQUATO NETO</v>
          </cell>
          <cell r="O17" t="str">
            <v>ZONA SUL</v>
          </cell>
        </row>
        <row r="18">
          <cell r="A18">
            <v>15951</v>
          </cell>
          <cell r="B18">
            <v>45971</v>
          </cell>
          <cell r="C18" t="str">
            <v>Em execução</v>
          </cell>
          <cell r="D18">
            <v>45301</v>
          </cell>
          <cell r="E18">
            <v>45361</v>
          </cell>
          <cell r="F18" t="str">
            <v>IDEPI</v>
          </cell>
          <cell r="G18" t="str">
            <v>PAVIMENTAÇÃO ASFÁLTICA DE VIAS, LIGANDO A REGIÃO DO TORQUATO NETO A COMUNIDADE TORRÕES, NO MUNICÍPIO DE TERESINA - OPA</v>
          </cell>
          <cell r="H18" t="str">
            <v>Em desenvolvimento</v>
          </cell>
          <cell r="I18">
            <v>45361</v>
          </cell>
          <cell r="J18" t="str">
            <v>EM EXECUÇÃO</v>
          </cell>
          <cell r="K18" t="str">
            <v>OBRA</v>
          </cell>
          <cell r="L18" t="str">
            <v>PAVIMENTAÇÃO ASFÁLTICA</v>
          </cell>
          <cell r="M18" t="str">
            <v>RUA</v>
          </cell>
          <cell r="N18" t="str">
            <v>TORQUATO NETO</v>
          </cell>
          <cell r="O18" t="str">
            <v>ZONA SUL</v>
          </cell>
        </row>
        <row r="19">
          <cell r="A19">
            <v>16521</v>
          </cell>
          <cell r="B19">
            <v>46077</v>
          </cell>
          <cell r="C19" t="str">
            <v>Em execução</v>
          </cell>
          <cell r="D19">
            <v>46073</v>
          </cell>
          <cell r="E19">
            <v>46193</v>
          </cell>
          <cell r="F19" t="str">
            <v>PGE</v>
          </cell>
          <cell r="G19" t="str">
            <v>CONSTRUÇÃO DA NOVA SEDE DA PROCURADORIA GERAL DO ESTADO DO PIAUÍ - PGE/PI - 2º CONTRATO</v>
          </cell>
          <cell r="H19" t="str">
            <v>Em desenvolvimento</v>
          </cell>
          <cell r="I19">
            <v>46193</v>
          </cell>
          <cell r="J19" t="str">
            <v>EM EXECUÇÃO</v>
          </cell>
          <cell r="K19" t="str">
            <v>OBRA</v>
          </cell>
          <cell r="L19" t="str">
            <v>CONSTRUÇÃO</v>
          </cell>
          <cell r="M19" t="str">
            <v>PRÉDIO PÚBLICO</v>
          </cell>
          <cell r="N19" t="str">
            <v>JÓQUEI</v>
          </cell>
          <cell r="O19" t="str">
            <v>ZONA LESTE</v>
          </cell>
        </row>
        <row r="20">
          <cell r="A20">
            <v>15079</v>
          </cell>
          <cell r="B20">
            <v>45839</v>
          </cell>
          <cell r="C20" t="str">
            <v>Em execução</v>
          </cell>
          <cell r="D20">
            <v>46027</v>
          </cell>
          <cell r="E20">
            <v>46117</v>
          </cell>
          <cell r="F20" t="str">
            <v>SAF</v>
          </cell>
          <cell r="G20" t="str">
            <v>EXECUÇÃO DE PAVIMENTAÇÃO POLIÉDRICA E RECUPERAÇÃO DE RUAS NA SEDE DA SAF NO MUNICÍPIO DE TERESINA.</v>
          </cell>
          <cell r="H20" t="str">
            <v>Em desenvolvimento</v>
          </cell>
          <cell r="I20">
            <v>46117</v>
          </cell>
          <cell r="J20" t="str">
            <v>EM EXECUÇÃO</v>
          </cell>
          <cell r="K20" t="str">
            <v>OBRA</v>
          </cell>
          <cell r="L20" t="str">
            <v>IMPLANTAÇÃO||PAVIMENTAÇÃO POLIÉDRICA</v>
          </cell>
          <cell r="M20" t="str">
            <v>RUA</v>
          </cell>
          <cell r="N20" t="str">
            <v>CENTRO</v>
          </cell>
          <cell r="O20" t="str">
            <v>ZONA CENTRO</v>
          </cell>
        </row>
        <row r="21">
          <cell r="A21">
            <v>15034</v>
          </cell>
          <cell r="B21">
            <v>45833</v>
          </cell>
          <cell r="C21" t="str">
            <v>Em execução</v>
          </cell>
          <cell r="D21">
            <v>45972</v>
          </cell>
          <cell r="E21">
            <v>46152</v>
          </cell>
          <cell r="F21" t="str">
            <v>SECEPI</v>
          </cell>
          <cell r="G21" t="str">
            <v>REFORMA E RECUPERAÇÃO DE CAMPOS DE FUTEBOL NO MUNICÍPIO DE TERESINA - PI (OPA - ORÇAMENTO PARTICIPATIVO)</v>
          </cell>
          <cell r="H21" t="str">
            <v>Em desenvolvimento</v>
          </cell>
          <cell r="I21">
            <v>46152</v>
          </cell>
          <cell r="J21" t="str">
            <v>EM EXECUÇÃO</v>
          </cell>
          <cell r="K21" t="str">
            <v>OBRA</v>
          </cell>
          <cell r="L21" t="str">
            <v>RECUPERAÇÃO||REFORMA</v>
          </cell>
          <cell r="M21" t="str">
            <v>ESPAÇO E EQUIPAMENTO DE ESPORTE E LAZER</v>
          </cell>
          <cell r="N21" t="str">
            <v>VALE QUEM TEM, PARQUE PIAUI, ÁRVORES, ESPLANADA</v>
          </cell>
          <cell r="O21" t="str">
            <v>ZONA LESTE, ZONA SUL, </v>
          </cell>
        </row>
        <row r="22">
          <cell r="A22">
            <v>12544</v>
          </cell>
          <cell r="B22">
            <v>45307</v>
          </cell>
          <cell r="C22" t="str">
            <v>Paralisado</v>
          </cell>
          <cell r="D22">
            <v>45357</v>
          </cell>
          <cell r="E22">
            <v>45879</v>
          </cell>
          <cell r="F22" t="str">
            <v>SECEPI</v>
          </cell>
          <cell r="G22" t="str">
            <v>CONSTRUÇÃO DE ACADEMIA POPULAR NO MUNICÍPIO DE TERESINA - PI (OPA - ORÇAMENTO PARTICIPATIVO 2023)</v>
          </cell>
          <cell r="H22" t="str">
            <v>Em desenvolvimento</v>
          </cell>
          <cell r="I22">
            <v>45879</v>
          </cell>
          <cell r="J22" t="str">
            <v>EM EXECUÇÃO</v>
          </cell>
          <cell r="K22" t="str">
            <v>OBRA</v>
          </cell>
          <cell r="L22" t="str">
            <v>CONSTRUÇÃO</v>
          </cell>
          <cell r="M22" t="str">
            <v>ESPAÇO E EQUIPAMENTO DE ESPORTE E LAZER</v>
          </cell>
          <cell r="N22" t="str">
            <v>VALE QUEM TEM </v>
          </cell>
          <cell r="O22" t="str">
            <v>ZONA LESTE</v>
          </cell>
        </row>
        <row r="23">
          <cell r="A23">
            <v>14488</v>
          </cell>
          <cell r="B23">
            <v>45700</v>
          </cell>
          <cell r="C23" t="str">
            <v>Em execução</v>
          </cell>
          <cell r="D23">
            <v>45820</v>
          </cell>
          <cell r="E23">
            <v>46181</v>
          </cell>
          <cell r="F23" t="str">
            <v>SECULT</v>
          </cell>
          <cell r="G23" t="str">
            <v>PNAB - REFORMA E MODERNIZAÇÃO DA BIBLIOTECA ESTADUAL DESEMBARGADOR CROMWELL DE CARVALHO</v>
          </cell>
          <cell r="H23" t="str">
            <v>Em desenvolvimento</v>
          </cell>
          <cell r="I23">
            <v>46181</v>
          </cell>
          <cell r="J23" t="str">
            <v>EM EXECUÇÃO</v>
          </cell>
          <cell r="K23" t="str">
            <v>OBRA</v>
          </cell>
          <cell r="L23" t="str">
            <v>MANUTENÇÃO/CONSERVAÇÃO||REFORMA</v>
          </cell>
          <cell r="M23" t="str">
            <v>EQUIPAMENTO CULTURAL</v>
          </cell>
          <cell r="N23" t="str">
            <v>CENTRO (SUL)</v>
          </cell>
          <cell r="O23" t="str">
            <v>CENTRO </v>
          </cell>
        </row>
        <row r="24">
          <cell r="A24">
            <v>15508</v>
          </cell>
          <cell r="B24">
            <v>45893</v>
          </cell>
          <cell r="C24" t="str">
            <v>Em execução</v>
          </cell>
          <cell r="D24">
            <v>46063</v>
          </cell>
          <cell r="E24">
            <v>46243</v>
          </cell>
          <cell r="F24" t="str">
            <v>SECULT</v>
          </cell>
          <cell r="G24" t="str">
            <v>PNAB - REFORMA E MODERNIZAÇÃO DO MUSEU DO PIAUÍ, EM TERESINA-PI</v>
          </cell>
          <cell r="H24" t="str">
            <v>Em desenvolvimento</v>
          </cell>
          <cell r="I24">
            <v>46243</v>
          </cell>
          <cell r="J24" t="str">
            <v>EM EXECUÇÃO</v>
          </cell>
          <cell r="K24" t="str">
            <v>OBRA</v>
          </cell>
          <cell r="L24" t="str">
            <v>REFORMA</v>
          </cell>
          <cell r="M24" t="str">
            <v>EQUIPAMENTO CULTURAL</v>
          </cell>
          <cell r="N24" t="str">
            <v>Vale quem tem </v>
          </cell>
        </row>
        <row r="25">
          <cell r="A25">
            <v>11321</v>
          </cell>
          <cell r="B25">
            <v>45155</v>
          </cell>
          <cell r="C25" t="str">
            <v>Em execução</v>
          </cell>
          <cell r="D25">
            <v>45251</v>
          </cell>
          <cell r="E25">
            <v>46316</v>
          </cell>
          <cell r="F25" t="str">
            <v>SEINFRA</v>
          </cell>
          <cell r="G25" t="str">
            <v>EXECUÇÃO DA OBRA DE CONSTRUÇÃO DE 06 BLOCOS DE SALAS DE AULA NO CAMPUS POETA TORQUATO NETO DA UNIVERSIDADE ESTADUAL DO PIAUÍ (UESPI) NO MUNICIPIO DE TERESINA - PI</v>
          </cell>
          <cell r="H25" t="str">
            <v>Em desenvolvimento</v>
          </cell>
          <cell r="I25">
            <v>46316</v>
          </cell>
          <cell r="J25" t="str">
            <v>EM EXECUÇÃO</v>
          </cell>
          <cell r="K25" t="str">
            <v>OBRA</v>
          </cell>
          <cell r="L25" t="str">
            <v>CONSTRUÇÃO</v>
          </cell>
          <cell r="M25" t="str">
            <v>UNIVERSIDADE</v>
          </cell>
          <cell r="N25" t="str">
            <v>PIRAJÁ</v>
          </cell>
          <cell r="O25" t="str">
            <v>ZONA NORTE</v>
          </cell>
        </row>
        <row r="26">
          <cell r="A26">
            <v>10649</v>
          </cell>
          <cell r="B26">
            <v>45064</v>
          </cell>
          <cell r="C26" t="str">
            <v>Em execução</v>
          </cell>
          <cell r="D26">
            <v>45197</v>
          </cell>
          <cell r="E26">
            <v>46637</v>
          </cell>
          <cell r="F26" t="str">
            <v>SEINFRA</v>
          </cell>
          <cell r="G26" t="str">
            <v>EXECUÇÃO DOS SERVIÇOS DE PAVIMENTAÇÃO ASFÁLTICA EM DIVERSAS VIAS DOS MUNICÍPIOS QUE CORRESPONDEM O TERRITÓRIO ENTRE RIOS – TD 04, COM ÁREA TOTAL DE PAVIMENTAÇÃO DE 1.137.000,00 M²</v>
          </cell>
          <cell r="H26" t="str">
            <v>Em desenvolvimento</v>
          </cell>
          <cell r="I26">
            <v>46637</v>
          </cell>
          <cell r="J26" t="str">
            <v>EM EXECUÇÃO</v>
          </cell>
          <cell r="K26" t="str">
            <v>OBRA</v>
          </cell>
          <cell r="L26" t="str">
            <v>PAVIMENTAÇÃO ASFÁLTICA</v>
          </cell>
          <cell r="M26" t="str">
            <v>RUA</v>
          </cell>
        </row>
        <row r="27">
          <cell r="A27">
            <v>14444</v>
          </cell>
          <cell r="B27">
            <v>45680</v>
          </cell>
          <cell r="C27" t="str">
            <v>Em execução</v>
          </cell>
          <cell r="D27">
            <v>46091</v>
          </cell>
          <cell r="E27">
            <v>46456</v>
          </cell>
          <cell r="F27" t="str">
            <v>SEINFRA</v>
          </cell>
          <cell r="G27" t="str">
            <v>REFORMA DA FACULDADE DE CIÊNCIAS MÉDICAS DA UNIVERSIDADE ESTADUAL DO PIAUÍ- FACIME/UESPI, COM ÁREA DE 3.802,64 M², NO MUNICÍPIO DE TERESINA - PI​</v>
          </cell>
          <cell r="H27" t="str">
            <v>Em desenvolvimento</v>
          </cell>
          <cell r="I27">
            <v>46456</v>
          </cell>
          <cell r="J27" t="str">
            <v>EM EXECUÇÃO</v>
          </cell>
          <cell r="K27" t="str">
            <v>OBRA</v>
          </cell>
          <cell r="L27" t="str">
            <v>REFORMA</v>
          </cell>
          <cell r="M27" t="str">
            <v>UNIVERSIDADE</v>
          </cell>
          <cell r="N27" t="str">
            <v>Centro</v>
          </cell>
        </row>
        <row r="28">
          <cell r="A28">
            <v>12546</v>
          </cell>
          <cell r="B28">
            <v>45307</v>
          </cell>
          <cell r="C28" t="str">
            <v>Em execução</v>
          </cell>
          <cell r="D28">
            <v>45499</v>
          </cell>
          <cell r="E28">
            <v>46229</v>
          </cell>
          <cell r="F28" t="str">
            <v>SETRANS</v>
          </cell>
          <cell r="G28" t="str">
            <v>EXECUÇÃO DE PAVIMENTAÇÃO 1.206.000M² ASFÁLTICA EM DIVERSAS VIAS DOS MUNICIPIOS LOCALIZADOS NO TERRITÓRIO DE DESENVOLVIMENTO ENTRE RIOS-PI CONTRATO 107/2024</v>
          </cell>
          <cell r="H28" t="str">
            <v>Em desenvolvimento</v>
          </cell>
          <cell r="I28">
            <v>46229</v>
          </cell>
          <cell r="J28" t="str">
            <v>EM EXECUÇÃO</v>
          </cell>
          <cell r="K28" t="str">
            <v>OBRA</v>
          </cell>
          <cell r="L28" t="str">
            <v>PAVIMENTAÇÃO ASFÁLTICA</v>
          </cell>
          <cell r="M28" t="str">
            <v>RUA</v>
          </cell>
          <cell r="N28" t="str">
            <v>PIRAJÁ</v>
          </cell>
          <cell r="O28" t="str">
            <v>ZONA CENTRO</v>
          </cell>
        </row>
        <row r="29">
          <cell r="A29">
            <v>16076</v>
          </cell>
          <cell r="B29">
            <v>45993</v>
          </cell>
          <cell r="C29" t="str">
            <v>Em execução</v>
          </cell>
          <cell r="D29">
            <v>46120</v>
          </cell>
          <cell r="E29">
            <v>46210</v>
          </cell>
          <cell r="F29" t="str">
            <v>SETRE</v>
          </cell>
          <cell r="G29" t="str">
            <v>PAVIMENTAÇÃO EM PARALELEPÍPEDO DE 5.001,96 M² NOS RESIDENCIAIS DANDARA DOS COCAIS E LINDALMA SOARES, ZONA URBANA DO MUNICÍPIO DE TERESINA - PI</v>
          </cell>
          <cell r="H29" t="str">
            <v>Em desenvolvimento</v>
          </cell>
          <cell r="I29">
            <v>46210</v>
          </cell>
          <cell r="J29" t="str">
            <v>EM EXECUÇÃO</v>
          </cell>
          <cell r="K29" t="str">
            <v>OBRA</v>
          </cell>
          <cell r="L29" t="str">
            <v>PAVIMENTAÇÃO EM PARALELEPÍPEDO</v>
          </cell>
          <cell r="M29" t="str">
            <v>RUA</v>
          </cell>
          <cell r="N29" t="str">
            <v>RESIDENCIAIS DANDARA DOS COCAIS E
LINDALMA SOARES</v>
          </cell>
          <cell r="O29" t="str">
            <v>ZONA NORTE</v>
          </cell>
        </row>
        <row r="30">
          <cell r="A30">
            <v>12508</v>
          </cell>
          <cell r="B30">
            <v>45301</v>
          </cell>
          <cell r="C30" t="str">
            <v>Em execução</v>
          </cell>
          <cell r="D30">
            <v>45966</v>
          </cell>
          <cell r="E30">
            <v>46146</v>
          </cell>
          <cell r="F30" t="str">
            <v>SETUR</v>
          </cell>
          <cell r="G30" t="str">
            <v>PAVIMENTAÇÃO EM PARALELEPIPEDO MUNICIPIO DE TERESINA - PI (11.675,14 M²).</v>
          </cell>
          <cell r="H30" t="str">
            <v>Em desenvolvimento</v>
          </cell>
          <cell r="I30">
            <v>46146</v>
          </cell>
          <cell r="J30" t="str">
            <v>EM EXECUÇÃO</v>
          </cell>
          <cell r="K30" t="str">
            <v>OBRA</v>
          </cell>
          <cell r="L30" t="str">
            <v>PAVIMENTAÇÃO EM PARALELEPÍPEDO</v>
          </cell>
          <cell r="M30" t="str">
            <v>RUA</v>
          </cell>
          <cell r="N30" t="str">
            <v>vila irmã Dulce</v>
          </cell>
          <cell r="O30" t="str">
            <v>ZONA SUL</v>
          </cell>
        </row>
      </sheetData>
      <sheetData sheetId="9"/>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9" Type="http://schemas.openxmlformats.org/officeDocument/2006/relationships/hyperlink" Target="https://discricionarias.transferegov.sistema.gov.br/voluntarias/ConsultarProposta/ResultadoDaConsultaDePropostaDetalharProposta.do?idProposta=1939922&amp;Usr=guest&amp;Pwd=guest" TargetMode="External"/><Relationship Id="rId8" Type="http://schemas.openxmlformats.org/officeDocument/2006/relationships/hyperlink" Target="https://discricionarias.transferegov.sistema.gov.br/voluntarias/ConsultarProposta/ResultadoDaConsultaDePropostaDetalharProposta.do?idProposta=1915658&amp;Usr=guest&amp;Pwd=guest" TargetMode="External"/><Relationship Id="rId7" Type="http://schemas.openxmlformats.org/officeDocument/2006/relationships/hyperlink" Target="https://discricionarias.transferegov.sistema.gov.br/voluntarias/ConsultarProposta/ResultadoDaConsultaDePropostaDetalharProposta.do?idProposta=1915711&amp;Usr=guest&amp;Pwd=guest" TargetMode="External"/><Relationship Id="rId6" Type="http://schemas.openxmlformats.org/officeDocument/2006/relationships/hyperlink" Target="https://discricionarias.transferegov.sistema.gov.br/voluntarias/ConsultarProposta/ResultadoDaConsultaDePropostaDetalharProposta.do?idProposta=1905302&amp;Usr=guest&amp;Pwd=guest" TargetMode="External"/><Relationship Id="rId5" Type="http://schemas.openxmlformats.org/officeDocument/2006/relationships/hyperlink" Target="https://discricionarias.transferegov.sistema.gov.br/voluntarias/ConsultarProposta/ResultadoDaConsultaDePropostaDetalharProposta.do?idProposta=1886452&amp;Usr=guest&amp;Pwd=guest" TargetMode="External"/><Relationship Id="rId4" Type="http://schemas.openxmlformats.org/officeDocument/2006/relationships/hyperlink" Target="https://discricionarias.transferegov.sistema.gov.br/voluntarias/ConsultarProposta/ResultadoDaConsultaDePropostaDetalharProposta.do?idProposta=1908081&amp;Usr=guest&amp;Pwd=guest" TargetMode="External"/><Relationship Id="rId3" Type="http://schemas.openxmlformats.org/officeDocument/2006/relationships/hyperlink" Target="https://discricionarias.transferegov.sistema.gov.br/voluntarias/ConsultarProposta/ResultadoDaConsultaDePropostaDetalharProposta.do?idProposta=1905300&amp;Usr=guest&amp;Pwd=guest" TargetMode="External"/><Relationship Id="rId2" Type="http://schemas.openxmlformats.org/officeDocument/2006/relationships/hyperlink" Target="https://discricionarias.transferegov.sistema.gov.br/voluntarias/ConsultarProposta/ResultadoDaConsultaDePropostaDetalharProposta.do?idProposta=1932288&amp;Usr=guest&amp;Pwd=guest" TargetMode="External"/><Relationship Id="rId16" Type="http://schemas.openxmlformats.org/officeDocument/2006/relationships/hyperlink" Target="https://discricionarias.transferegov.sistema.gov.br/voluntarias/ConsultarProposta/ResultadoDaConsultaDePropostaDetalharProposta.do?idProposta=1947936&amp;Usr=guest&amp;Pwd=guest" TargetMode="External"/><Relationship Id="rId15" Type="http://schemas.openxmlformats.org/officeDocument/2006/relationships/hyperlink" Target="https://discricionarias.transferegov.sistema.gov.br/voluntarias/ConsultarProposta/ResultadoDaConsultaDePropostaDetalharProposta.do?idProposta=1903068&amp;Usr=guest&amp;Pwd=guest" TargetMode="External"/><Relationship Id="rId14" Type="http://schemas.openxmlformats.org/officeDocument/2006/relationships/hyperlink" Target="https://discricionarias.transferegov.sistema.gov.br/voluntarias/ConsultarProposta/ResultadoDaConsultaDePropostaDetalharProposta.do?idProposta=1950041&amp;Usr=guest&amp;Pwd=guest" TargetMode="External"/><Relationship Id="rId13" Type="http://schemas.openxmlformats.org/officeDocument/2006/relationships/hyperlink" Target="https://discricionarias.transferegov.sistema.gov.br/voluntarias/ConsultarProposta/ResultadoDaConsultaDePropostaDetalharProposta.do?idProposta=1950039&amp;Usr=guest&amp;Pwd=guest" TargetMode="External"/><Relationship Id="rId12" Type="http://schemas.openxmlformats.org/officeDocument/2006/relationships/hyperlink" Target="https://discricionarias.transferegov.sistema.gov.br/voluntarias/ConsultarProposta/ResultadoDaConsultaDePropostaDetalharProposta.do?idProposta=1944090&amp;Usr=guest&amp;Pwd=guest" TargetMode="External"/><Relationship Id="rId11" Type="http://schemas.openxmlformats.org/officeDocument/2006/relationships/hyperlink" Target="https://discricionarias.transferegov.sistema.gov.br/voluntarias/ConsultarProposta/ResultadoDaConsultaDePropostaDetalharProposta.do?idProposta=1890231&amp;Usr=guest&amp;Pwd=guest" TargetMode="External"/><Relationship Id="rId10" Type="http://schemas.openxmlformats.org/officeDocument/2006/relationships/hyperlink" Target="https://discricionarias.transferegov.sistema.gov.br/voluntarias/ConsultarProposta/ResultadoDaConsultaDePropostaDetalharProposta.do?idProposta=1930696&amp;Usr=guest&amp;Pwd=guest" TargetMode="External"/><Relationship Id="rId1" Type="http://schemas.openxmlformats.org/officeDocument/2006/relationships/hyperlink" Target="https://discricionarias.transferegov.sistema.gov.br/voluntarias/ConsultarProposta/ResultadoDaConsultaDePropostaDetalharProposta.do?idProposta=1899654&amp;Usr=guest&amp;Pwd=gues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1"/>
  <sheetViews>
    <sheetView tabSelected="1" workbookViewId="0">
      <selection activeCell="L6" sqref="L6"/>
    </sheetView>
  </sheetViews>
  <sheetFormatPr defaultColWidth="9" defaultRowHeight="15"/>
  <cols>
    <col min="4" max="4" width="69" customWidth="1"/>
    <col min="5" max="5" width="18.5714285714286" customWidth="1"/>
    <col min="6" max="6" width="16.7142857142857" customWidth="1"/>
    <col min="7" max="7" width="11.8571428571429" customWidth="1"/>
    <col min="8" max="8" width="15.2857142857143" customWidth="1"/>
    <col min="9" max="9" width="17.5714285714286" customWidth="1"/>
    <col min="10" max="10" width="20.2857142857143" customWidth="1"/>
    <col min="11" max="11" width="14.2857142857143" customWidth="1"/>
    <col min="12" max="12" width="11.4285714285714" customWidth="1"/>
  </cols>
  <sheetData>
    <row r="1" s="51" customFormat="1" spans="1:12">
      <c r="A1" s="52" t="s">
        <v>0</v>
      </c>
      <c r="B1" s="52" t="s">
        <v>1</v>
      </c>
      <c r="C1" s="52" t="s">
        <v>2</v>
      </c>
      <c r="D1" s="52" t="s">
        <v>3</v>
      </c>
      <c r="E1" s="53" t="s">
        <v>4</v>
      </c>
      <c r="F1" s="53" t="s">
        <v>5</v>
      </c>
      <c r="G1" s="52" t="s">
        <v>6</v>
      </c>
      <c r="H1" s="52" t="s">
        <v>7</v>
      </c>
      <c r="I1" s="52" t="s">
        <v>8</v>
      </c>
      <c r="J1" s="2" t="s">
        <v>9</v>
      </c>
      <c r="K1" s="2" t="s">
        <v>10</v>
      </c>
    </row>
    <row r="2" spans="1:12">
      <c r="A2" s="54">
        <v>7860</v>
      </c>
      <c r="B2" s="55" t="s">
        <v>11</v>
      </c>
      <c r="C2" s="55" t="s">
        <v>12</v>
      </c>
      <c r="D2" s="55" t="s">
        <v>13</v>
      </c>
      <c r="E2" s="56">
        <v>591008.56</v>
      </c>
      <c r="F2" s="56">
        <v>492510.4</v>
      </c>
      <c r="G2" s="57">
        <f t="shared" ref="G2:G29" si="0">F2/E2</f>
        <v>0.833338860608043</v>
      </c>
      <c r="H2" s="58">
        <v>0.833300018310547</v>
      </c>
      <c r="I2" s="59">
        <v>45316</v>
      </c>
      <c r="J2" s="55" t="s">
        <v>14</v>
      </c>
      <c r="K2" s="55" t="s">
        <v>14</v>
      </c>
      <c r="L2" t="s">
        <v>14</v>
      </c>
    </row>
    <row r="3" spans="1:12">
      <c r="A3" s="54">
        <v>8436</v>
      </c>
      <c r="B3" s="55" t="s">
        <v>15</v>
      </c>
      <c r="C3" s="55" t="s">
        <v>16</v>
      </c>
      <c r="D3" s="55" t="s">
        <v>17</v>
      </c>
      <c r="E3" s="56">
        <v>5622397.87</v>
      </c>
      <c r="F3" s="56">
        <v>4304887.37</v>
      </c>
      <c r="G3" s="57">
        <f t="shared" si="0"/>
        <v>0.765667508692337</v>
      </c>
      <c r="H3" s="58">
        <v>0.890100021362305</v>
      </c>
      <c r="I3" s="59">
        <v>45597</v>
      </c>
      <c r="J3" s="55" t="s">
        <v>14</v>
      </c>
      <c r="K3" s="55" t="s">
        <v>14</v>
      </c>
      <c r="L3" t="s">
        <v>14</v>
      </c>
    </row>
    <row r="4" spans="1:12">
      <c r="A4" s="54">
        <v>9493</v>
      </c>
      <c r="B4" s="55" t="s">
        <v>11</v>
      </c>
      <c r="C4" s="55" t="s">
        <v>18</v>
      </c>
      <c r="D4" s="55" t="s">
        <v>19</v>
      </c>
      <c r="E4" s="56">
        <v>2686293.34</v>
      </c>
      <c r="F4" s="56">
        <v>1944878.92</v>
      </c>
      <c r="G4" s="57">
        <f t="shared" si="0"/>
        <v>0.724000946225776</v>
      </c>
      <c r="H4" s="58">
        <v>0.891500015258789</v>
      </c>
      <c r="I4" s="59">
        <v>45301</v>
      </c>
      <c r="J4" s="55" t="s">
        <v>14</v>
      </c>
      <c r="K4" s="55" t="s">
        <v>20</v>
      </c>
      <c r="L4" t="s">
        <v>14</v>
      </c>
    </row>
    <row r="5" spans="1:12">
      <c r="A5" s="54">
        <v>13228</v>
      </c>
      <c r="B5" s="55" t="s">
        <v>11</v>
      </c>
      <c r="C5" s="55" t="s">
        <v>21</v>
      </c>
      <c r="D5" s="55" t="s">
        <v>22</v>
      </c>
      <c r="E5" s="56">
        <v>695829.96</v>
      </c>
      <c r="F5" s="56">
        <v>624189.36</v>
      </c>
      <c r="G5" s="57">
        <f t="shared" si="0"/>
        <v>0.897042949975882</v>
      </c>
      <c r="H5" s="58">
        <v>0.896999969482422</v>
      </c>
      <c r="I5" s="60">
        <v>45644</v>
      </c>
      <c r="J5" s="55" t="s">
        <v>23</v>
      </c>
      <c r="K5" s="55" t="s">
        <v>24</v>
      </c>
      <c r="L5" t="s">
        <v>14</v>
      </c>
    </row>
    <row r="6" spans="1:12">
      <c r="A6" s="54">
        <v>9292</v>
      </c>
      <c r="B6" s="55" t="s">
        <v>11</v>
      </c>
      <c r="C6" s="55" t="s">
        <v>25</v>
      </c>
      <c r="D6" s="55" t="s">
        <v>26</v>
      </c>
      <c r="E6" s="56">
        <v>988198.07</v>
      </c>
      <c r="F6" s="56">
        <v>905428.57</v>
      </c>
      <c r="G6" s="57">
        <f t="shared" si="0"/>
        <v>0.916241993874771</v>
      </c>
      <c r="H6" s="58">
        <v>0.91620002746582</v>
      </c>
      <c r="I6" s="60">
        <v>45623</v>
      </c>
      <c r="J6" s="55" t="s">
        <v>27</v>
      </c>
      <c r="K6" s="55" t="s">
        <v>28</v>
      </c>
      <c r="L6" t="s">
        <v>14</v>
      </c>
    </row>
    <row r="7" spans="1:12">
      <c r="A7" s="54">
        <v>11885</v>
      </c>
      <c r="B7" s="55" t="s">
        <v>11</v>
      </c>
      <c r="C7" s="55" t="s">
        <v>29</v>
      </c>
      <c r="D7" s="55" t="s">
        <v>30</v>
      </c>
      <c r="E7" s="56">
        <v>1210059.63</v>
      </c>
      <c r="F7" s="56">
        <v>973368.46</v>
      </c>
      <c r="G7" s="57">
        <f t="shared" si="0"/>
        <v>0.804397102314702</v>
      </c>
      <c r="H7" s="58">
        <v>0.919800033569336</v>
      </c>
      <c r="I7" s="60">
        <v>45950</v>
      </c>
      <c r="J7" s="55" t="s">
        <v>31</v>
      </c>
      <c r="K7" s="55" t="s">
        <v>24</v>
      </c>
      <c r="L7" t="s">
        <v>32</v>
      </c>
    </row>
    <row r="8" spans="1:12">
      <c r="A8" s="54">
        <v>9012</v>
      </c>
      <c r="B8" s="55" t="s">
        <v>11</v>
      </c>
      <c r="C8" s="55" t="s">
        <v>33</v>
      </c>
      <c r="D8" s="55" t="s">
        <v>34</v>
      </c>
      <c r="E8" s="56">
        <v>6770798.93</v>
      </c>
      <c r="F8" s="56">
        <v>5253942.52</v>
      </c>
      <c r="G8" s="57">
        <f t="shared" si="0"/>
        <v>0.775970838052933</v>
      </c>
      <c r="H8" s="58">
        <v>0.921399993896484</v>
      </c>
      <c r="I8" s="59">
        <v>45471</v>
      </c>
      <c r="J8" s="55" t="s">
        <v>35</v>
      </c>
      <c r="K8" s="55" t="s">
        <v>36</v>
      </c>
      <c r="L8" t="s">
        <v>37</v>
      </c>
    </row>
    <row r="9" spans="1:12">
      <c r="A9" s="54">
        <v>7758</v>
      </c>
      <c r="B9" s="55" t="s">
        <v>11</v>
      </c>
      <c r="C9" s="55" t="s">
        <v>38</v>
      </c>
      <c r="D9" s="55" t="s">
        <v>39</v>
      </c>
      <c r="E9" s="56">
        <v>193783.5</v>
      </c>
      <c r="F9" s="56">
        <v>186170.82</v>
      </c>
      <c r="G9" s="57">
        <f t="shared" si="0"/>
        <v>0.960715540796817</v>
      </c>
      <c r="H9" s="58">
        <v>0.934300003051758</v>
      </c>
      <c r="I9" s="59">
        <v>45422</v>
      </c>
      <c r="J9" s="55" t="s">
        <v>40</v>
      </c>
      <c r="K9" s="55" t="s">
        <v>28</v>
      </c>
      <c r="L9" t="s">
        <v>14</v>
      </c>
    </row>
    <row r="10" spans="1:12">
      <c r="A10" s="54">
        <v>9703</v>
      </c>
      <c r="B10" s="55" t="s">
        <v>11</v>
      </c>
      <c r="C10" s="55" t="s">
        <v>41</v>
      </c>
      <c r="D10" s="55" t="s">
        <v>42</v>
      </c>
      <c r="E10" s="56">
        <v>863913.38</v>
      </c>
      <c r="F10" s="56">
        <v>799080.28</v>
      </c>
      <c r="G10" s="57">
        <f t="shared" si="0"/>
        <v>0.924954166122534</v>
      </c>
      <c r="H10" s="58">
        <v>0.95</v>
      </c>
      <c r="I10" s="59">
        <v>45239</v>
      </c>
      <c r="J10" s="55" t="s">
        <v>43</v>
      </c>
      <c r="K10" s="55" t="s">
        <v>24</v>
      </c>
      <c r="L10" t="s">
        <v>44</v>
      </c>
    </row>
    <row r="11" spans="1:12">
      <c r="A11" s="54">
        <v>12470</v>
      </c>
      <c r="B11" s="55" t="s">
        <v>11</v>
      </c>
      <c r="C11" s="55" t="s">
        <v>12</v>
      </c>
      <c r="D11" s="55" t="s">
        <v>45</v>
      </c>
      <c r="E11" s="56">
        <v>274513.08</v>
      </c>
      <c r="F11" s="56">
        <v>261597.31</v>
      </c>
      <c r="G11" s="57">
        <f t="shared" si="0"/>
        <v>0.952950256505081</v>
      </c>
      <c r="H11" s="58">
        <v>0.956699981689453</v>
      </c>
      <c r="I11" s="60">
        <v>45595</v>
      </c>
      <c r="J11" s="55" t="s">
        <v>46</v>
      </c>
      <c r="K11" s="55" t="s">
        <v>47</v>
      </c>
      <c r="L11" t="s">
        <v>48</v>
      </c>
    </row>
    <row r="12" spans="1:12">
      <c r="A12" s="54">
        <v>12634</v>
      </c>
      <c r="B12" s="55" t="s">
        <v>11</v>
      </c>
      <c r="C12" s="55" t="s">
        <v>18</v>
      </c>
      <c r="D12" s="55" t="s">
        <v>49</v>
      </c>
      <c r="E12" s="56">
        <v>702117.07</v>
      </c>
      <c r="F12" s="56">
        <v>673473.14</v>
      </c>
      <c r="G12" s="57">
        <f t="shared" si="0"/>
        <v>0.959203484398977</v>
      </c>
      <c r="H12" s="58">
        <v>0.959199981689453</v>
      </c>
      <c r="I12" s="59">
        <v>45566</v>
      </c>
      <c r="J12" s="55" t="s">
        <v>50</v>
      </c>
      <c r="K12" s="55" t="s">
        <v>47</v>
      </c>
      <c r="L12" t="s">
        <v>51</v>
      </c>
    </row>
    <row r="13" spans="1:12">
      <c r="A13" s="54">
        <v>10522</v>
      </c>
      <c r="B13" s="55" t="s">
        <v>11</v>
      </c>
      <c r="C13" s="55" t="s">
        <v>52</v>
      </c>
      <c r="D13" s="55" t="s">
        <v>53</v>
      </c>
      <c r="E13" s="56">
        <v>1139451.51</v>
      </c>
      <c r="F13" s="56">
        <v>1094411.62</v>
      </c>
      <c r="G13" s="57">
        <f t="shared" si="0"/>
        <v>0.960472306539837</v>
      </c>
      <c r="H13" s="58">
        <v>0.960400009155274</v>
      </c>
      <c r="I13" s="59">
        <v>45366</v>
      </c>
      <c r="J13" s="55" t="s">
        <v>54</v>
      </c>
      <c r="K13" s="55" t="s">
        <v>47</v>
      </c>
      <c r="L13" t="s">
        <v>14</v>
      </c>
    </row>
    <row r="14" spans="1:12">
      <c r="A14" s="54">
        <v>12630</v>
      </c>
      <c r="B14" s="55" t="s">
        <v>11</v>
      </c>
      <c r="C14" s="55" t="s">
        <v>55</v>
      </c>
      <c r="D14" s="55" t="s">
        <v>56</v>
      </c>
      <c r="E14" s="56">
        <v>488019.4</v>
      </c>
      <c r="F14" s="56">
        <v>384815.62</v>
      </c>
      <c r="G14" s="57">
        <f t="shared" si="0"/>
        <v>0.788525251250258</v>
      </c>
      <c r="H14" s="58">
        <v>0.969400024414062</v>
      </c>
      <c r="I14" s="59">
        <v>45863</v>
      </c>
      <c r="J14" s="55" t="s">
        <v>57</v>
      </c>
      <c r="K14" s="55" t="s">
        <v>24</v>
      </c>
      <c r="L14" t="s">
        <v>14</v>
      </c>
    </row>
    <row r="15" spans="1:12">
      <c r="A15" s="54">
        <v>9109</v>
      </c>
      <c r="B15" s="55" t="s">
        <v>11</v>
      </c>
      <c r="C15" s="55" t="s">
        <v>38</v>
      </c>
      <c r="D15" s="55" t="s">
        <v>58</v>
      </c>
      <c r="E15" s="56">
        <v>885791.99</v>
      </c>
      <c r="F15" s="56">
        <v>864678.01</v>
      </c>
      <c r="G15" s="57">
        <f t="shared" si="0"/>
        <v>0.97616372665551</v>
      </c>
      <c r="H15" s="58">
        <v>0.976100006103516</v>
      </c>
      <c r="I15" s="59">
        <v>45194</v>
      </c>
      <c r="J15" s="55" t="s">
        <v>59</v>
      </c>
      <c r="K15" s="55" t="s">
        <v>47</v>
      </c>
      <c r="L15" t="s">
        <v>60</v>
      </c>
    </row>
    <row r="16" spans="1:12">
      <c r="A16" s="54">
        <v>10673</v>
      </c>
      <c r="B16" s="55" t="s">
        <v>11</v>
      </c>
      <c r="C16" s="55" t="s">
        <v>61</v>
      </c>
      <c r="D16" s="55" t="s">
        <v>62</v>
      </c>
      <c r="E16" s="56">
        <v>751872.54</v>
      </c>
      <c r="F16" s="56">
        <v>768747.38</v>
      </c>
      <c r="G16" s="57">
        <f t="shared" si="0"/>
        <v>1.02244375090491</v>
      </c>
      <c r="H16" s="58">
        <v>0.976399993896484</v>
      </c>
      <c r="I16" s="59">
        <v>45492</v>
      </c>
      <c r="J16" s="55" t="s">
        <v>63</v>
      </c>
      <c r="K16" s="55" t="s">
        <v>28</v>
      </c>
      <c r="L16" t="s">
        <v>64</v>
      </c>
    </row>
    <row r="17" spans="1:12">
      <c r="A17" s="54">
        <v>10229</v>
      </c>
      <c r="B17" s="55" t="s">
        <v>11</v>
      </c>
      <c r="C17" s="55" t="s">
        <v>52</v>
      </c>
      <c r="D17" s="55" t="s">
        <v>65</v>
      </c>
      <c r="E17" s="56">
        <v>173971.83</v>
      </c>
      <c r="F17" s="56">
        <v>169893</v>
      </c>
      <c r="G17" s="57">
        <f t="shared" si="0"/>
        <v>0.976554652554957</v>
      </c>
      <c r="H17" s="58">
        <v>0.976500015258789</v>
      </c>
      <c r="I17" s="59">
        <v>45498</v>
      </c>
      <c r="J17" s="55" t="s">
        <v>66</v>
      </c>
      <c r="K17" s="55" t="s">
        <v>67</v>
      </c>
      <c r="L17" t="s">
        <v>68</v>
      </c>
    </row>
    <row r="18" spans="1:12">
      <c r="A18" s="54">
        <v>10215</v>
      </c>
      <c r="B18" s="55" t="s">
        <v>11</v>
      </c>
      <c r="C18" s="55" t="s">
        <v>69</v>
      </c>
      <c r="D18" s="55" t="s">
        <v>70</v>
      </c>
      <c r="E18" s="56">
        <v>612303.93</v>
      </c>
      <c r="F18" s="56">
        <v>597985.13</v>
      </c>
      <c r="G18" s="57">
        <f t="shared" si="0"/>
        <v>0.976614881436413</v>
      </c>
      <c r="H18" s="58">
        <v>0.976600036621094</v>
      </c>
      <c r="I18" s="59">
        <v>45602</v>
      </c>
      <c r="J18" s="55" t="s">
        <v>71</v>
      </c>
      <c r="K18" s="55" t="s">
        <v>67</v>
      </c>
      <c r="L18" t="s">
        <v>72</v>
      </c>
    </row>
    <row r="19" spans="1:12">
      <c r="A19" s="54">
        <v>14297</v>
      </c>
      <c r="B19" s="55" t="s">
        <v>11</v>
      </c>
      <c r="C19" s="55" t="s">
        <v>16</v>
      </c>
      <c r="D19" s="55" t="s">
        <v>73</v>
      </c>
      <c r="E19" s="56">
        <v>474265.72</v>
      </c>
      <c r="F19" s="56">
        <v>486907.1</v>
      </c>
      <c r="G19" s="57">
        <f t="shared" si="0"/>
        <v>1.02665463571772</v>
      </c>
      <c r="H19" s="58">
        <v>0.978600006103516</v>
      </c>
      <c r="I19" s="59">
        <v>45966</v>
      </c>
      <c r="J19" s="55" t="s">
        <v>74</v>
      </c>
      <c r="K19" s="55" t="s">
        <v>24</v>
      </c>
      <c r="L19" t="s">
        <v>75</v>
      </c>
    </row>
    <row r="20" spans="1:12">
      <c r="A20" s="54">
        <v>10535</v>
      </c>
      <c r="B20" s="55" t="s">
        <v>11</v>
      </c>
      <c r="C20" s="55" t="s">
        <v>76</v>
      </c>
      <c r="D20" s="55" t="s">
        <v>77</v>
      </c>
      <c r="E20" s="56">
        <v>4772500</v>
      </c>
      <c r="F20" s="56">
        <v>4767046</v>
      </c>
      <c r="G20" s="57">
        <f t="shared" si="0"/>
        <v>0.998857202723939</v>
      </c>
      <c r="H20" s="58">
        <v>0.979000015258789</v>
      </c>
      <c r="I20" s="59">
        <v>45540</v>
      </c>
      <c r="J20" s="55" t="s">
        <v>78</v>
      </c>
      <c r="K20" s="55" t="s">
        <v>24</v>
      </c>
      <c r="L20" t="s">
        <v>14</v>
      </c>
    </row>
    <row r="21" spans="1:12">
      <c r="A21" s="54">
        <v>13202</v>
      </c>
      <c r="B21" s="55" t="s">
        <v>11</v>
      </c>
      <c r="C21" s="55" t="s">
        <v>25</v>
      </c>
      <c r="D21" s="55" t="s">
        <v>79</v>
      </c>
      <c r="E21" s="56">
        <v>499081.21</v>
      </c>
      <c r="F21" s="56">
        <v>489649.45</v>
      </c>
      <c r="G21" s="57">
        <f t="shared" si="0"/>
        <v>0.981101752959203</v>
      </c>
      <c r="H21" s="58">
        <v>0.981100006103516</v>
      </c>
      <c r="I21" s="59">
        <v>45717</v>
      </c>
      <c r="J21" s="55" t="s">
        <v>80</v>
      </c>
      <c r="K21" s="55" t="s">
        <v>81</v>
      </c>
      <c r="L21" t="s">
        <v>14</v>
      </c>
    </row>
    <row r="22" spans="1:12">
      <c r="A22" s="54">
        <v>13102</v>
      </c>
      <c r="B22" s="55" t="s">
        <v>11</v>
      </c>
      <c r="C22" s="55" t="s">
        <v>21</v>
      </c>
      <c r="D22" s="55" t="s">
        <v>82</v>
      </c>
      <c r="E22" s="56">
        <v>501804.69</v>
      </c>
      <c r="F22" s="56">
        <v>492663.09</v>
      </c>
      <c r="G22" s="57">
        <f t="shared" si="0"/>
        <v>0.981782553686376</v>
      </c>
      <c r="H22" s="58">
        <v>0.981699981689453</v>
      </c>
      <c r="I22" s="59">
        <v>45560</v>
      </c>
      <c r="J22" s="55" t="s">
        <v>57</v>
      </c>
      <c r="K22" s="55" t="s">
        <v>24</v>
      </c>
      <c r="L22" t="s">
        <v>14</v>
      </c>
    </row>
    <row r="23" spans="1:12">
      <c r="A23" s="54">
        <v>9917</v>
      </c>
      <c r="B23" s="55" t="s">
        <v>11</v>
      </c>
      <c r="C23" s="55" t="s">
        <v>83</v>
      </c>
      <c r="D23" s="55" t="s">
        <v>84</v>
      </c>
      <c r="E23" s="56">
        <v>197602.48</v>
      </c>
      <c r="F23" s="56">
        <v>174451.65</v>
      </c>
      <c r="G23" s="57">
        <f t="shared" si="0"/>
        <v>0.882841399561382</v>
      </c>
      <c r="H23" s="58">
        <v>0.988099975585938</v>
      </c>
      <c r="I23" s="59">
        <v>45126</v>
      </c>
      <c r="J23" s="55" t="s">
        <v>85</v>
      </c>
      <c r="K23" s="55" t="s">
        <v>28</v>
      </c>
      <c r="L23" t="s">
        <v>14</v>
      </c>
    </row>
    <row r="24" spans="1:12">
      <c r="A24" s="54">
        <v>10462</v>
      </c>
      <c r="B24" s="55" t="s">
        <v>11</v>
      </c>
      <c r="C24" s="55" t="s">
        <v>52</v>
      </c>
      <c r="D24" s="55" t="s">
        <v>86</v>
      </c>
      <c r="E24" s="56">
        <v>125836.4</v>
      </c>
      <c r="F24" s="56">
        <v>124362.59</v>
      </c>
      <c r="G24" s="57">
        <f t="shared" si="0"/>
        <v>0.988287888083257</v>
      </c>
      <c r="H24" s="58">
        <v>0.988199996948242</v>
      </c>
      <c r="I24" s="59">
        <v>45205</v>
      </c>
      <c r="J24" s="55" t="s">
        <v>54</v>
      </c>
      <c r="K24" s="55" t="s">
        <v>47</v>
      </c>
      <c r="L24" t="s">
        <v>14</v>
      </c>
    </row>
    <row r="25" spans="1:12">
      <c r="A25" s="54">
        <v>10640</v>
      </c>
      <c r="B25" s="55" t="s">
        <v>11</v>
      </c>
      <c r="C25" s="55" t="s">
        <v>87</v>
      </c>
      <c r="D25" s="55" t="s">
        <v>88</v>
      </c>
      <c r="E25" s="56">
        <v>304913.44</v>
      </c>
      <c r="F25" s="56">
        <v>299811.3</v>
      </c>
      <c r="G25" s="57">
        <f t="shared" si="0"/>
        <v>0.983266923229098</v>
      </c>
      <c r="H25" s="58">
        <v>0.989800033569336</v>
      </c>
      <c r="I25" s="60">
        <v>45582</v>
      </c>
      <c r="J25" s="55" t="s">
        <v>89</v>
      </c>
      <c r="K25" s="55" t="s">
        <v>28</v>
      </c>
      <c r="L25" t="s">
        <v>90</v>
      </c>
    </row>
    <row r="26" spans="1:12">
      <c r="A26" s="54">
        <v>14808</v>
      </c>
      <c r="B26" s="55" t="s">
        <v>11</v>
      </c>
      <c r="C26" s="55" t="s">
        <v>91</v>
      </c>
      <c r="D26" s="55" t="s">
        <v>92</v>
      </c>
      <c r="E26" s="56">
        <v>443510.98</v>
      </c>
      <c r="F26" s="56">
        <v>290699.35</v>
      </c>
      <c r="G26" s="57">
        <f t="shared" si="0"/>
        <v>0.65545017622788</v>
      </c>
      <c r="H26" s="58">
        <v>0.992099990844726</v>
      </c>
      <c r="I26" s="59">
        <v>46128</v>
      </c>
      <c r="J26" s="55" t="s">
        <v>93</v>
      </c>
      <c r="K26" s="55" t="s">
        <v>67</v>
      </c>
      <c r="L26" t="s">
        <v>94</v>
      </c>
    </row>
    <row r="27" spans="1:12">
      <c r="A27" s="54">
        <v>12609</v>
      </c>
      <c r="B27" s="55" t="s">
        <v>11</v>
      </c>
      <c r="C27" s="55" t="s">
        <v>12</v>
      </c>
      <c r="D27" s="55" t="s">
        <v>95</v>
      </c>
      <c r="E27" s="56">
        <v>3744782.83</v>
      </c>
      <c r="F27" s="56">
        <v>3720745.66</v>
      </c>
      <c r="G27" s="57">
        <f t="shared" si="0"/>
        <v>0.993581157815766</v>
      </c>
      <c r="H27" s="58">
        <v>0.993499984741211</v>
      </c>
      <c r="I27" s="59">
        <v>45519</v>
      </c>
      <c r="J27" s="55" t="s">
        <v>96</v>
      </c>
      <c r="K27" s="55" t="s">
        <v>24</v>
      </c>
      <c r="L27" t="s">
        <v>97</v>
      </c>
    </row>
    <row r="28" spans="1:12">
      <c r="A28" s="54">
        <v>12980</v>
      </c>
      <c r="B28" s="55" t="s">
        <v>11</v>
      </c>
      <c r="C28" s="55" t="s">
        <v>18</v>
      </c>
      <c r="D28" s="55" t="s">
        <v>98</v>
      </c>
      <c r="E28" s="56">
        <v>2883806.79</v>
      </c>
      <c r="F28" s="56">
        <v>2829331.37</v>
      </c>
      <c r="G28" s="57">
        <f t="shared" si="0"/>
        <v>0.981109892594434</v>
      </c>
      <c r="H28" s="58">
        <v>0.994199981689453</v>
      </c>
      <c r="I28" s="59">
        <v>45909</v>
      </c>
      <c r="J28" s="55" t="s">
        <v>99</v>
      </c>
      <c r="K28" s="55" t="s">
        <v>81</v>
      </c>
      <c r="L28" t="s">
        <v>100</v>
      </c>
    </row>
    <row r="29" spans="1:12">
      <c r="A29" s="54">
        <v>10499</v>
      </c>
      <c r="B29" s="55" t="s">
        <v>11</v>
      </c>
      <c r="C29" s="55" t="s">
        <v>101</v>
      </c>
      <c r="D29" s="55" t="s">
        <v>102</v>
      </c>
      <c r="E29" s="56">
        <v>563344.85</v>
      </c>
      <c r="F29" s="56">
        <v>550811.21</v>
      </c>
      <c r="G29" s="57">
        <f t="shared" si="0"/>
        <v>0.977751389757091</v>
      </c>
      <c r="H29" s="58">
        <v>0.994300003051758</v>
      </c>
      <c r="I29" s="59">
        <v>45629</v>
      </c>
      <c r="J29" s="55" t="s">
        <v>103</v>
      </c>
      <c r="K29" s="55" t="s">
        <v>81</v>
      </c>
      <c r="L29" t="s">
        <v>14</v>
      </c>
    </row>
    <row r="30" spans="1:12">
      <c r="A30" s="54">
        <v>10891</v>
      </c>
      <c r="B30" s="55" t="s">
        <v>11</v>
      </c>
      <c r="C30" s="55" t="s">
        <v>16</v>
      </c>
      <c r="D30" s="55" t="s">
        <v>104</v>
      </c>
      <c r="E30" s="56">
        <v>3983289.91</v>
      </c>
      <c r="F30" s="56">
        <v>3962841.59</v>
      </c>
      <c r="G30" s="57">
        <v>1</v>
      </c>
      <c r="H30" s="61">
        <v>0.995</v>
      </c>
      <c r="I30" s="59">
        <v>45863</v>
      </c>
      <c r="J30" s="55" t="s">
        <v>105</v>
      </c>
      <c r="K30" s="55" t="s">
        <v>81</v>
      </c>
      <c r="L30" t="s">
        <v>106</v>
      </c>
    </row>
    <row r="31" spans="1:12">
      <c r="A31" s="54">
        <v>14491</v>
      </c>
      <c r="B31" s="55" t="s">
        <v>11</v>
      </c>
      <c r="C31" s="55" t="s">
        <v>16</v>
      </c>
      <c r="D31" s="55" t="s">
        <v>107</v>
      </c>
      <c r="E31" s="56">
        <v>330831.13</v>
      </c>
      <c r="F31" s="56">
        <v>329848.51</v>
      </c>
      <c r="G31" s="57">
        <v>1</v>
      </c>
      <c r="H31" s="61">
        <v>0.997</v>
      </c>
      <c r="I31" s="59">
        <v>45891</v>
      </c>
      <c r="J31" s="55" t="s">
        <v>108</v>
      </c>
      <c r="K31" s="55" t="s">
        <v>109</v>
      </c>
      <c r="L31" t="s">
        <v>110</v>
      </c>
    </row>
    <row r="32" spans="1:12">
      <c r="A32" s="54">
        <v>13158</v>
      </c>
      <c r="B32" s="55" t="s">
        <v>11</v>
      </c>
      <c r="C32" s="55" t="s">
        <v>18</v>
      </c>
      <c r="D32" s="55" t="s">
        <v>111</v>
      </c>
      <c r="E32" s="56">
        <v>2496592.38</v>
      </c>
      <c r="F32" s="56">
        <v>2489244.65</v>
      </c>
      <c r="G32" s="57">
        <v>1</v>
      </c>
      <c r="H32" s="61">
        <v>0.997</v>
      </c>
      <c r="I32" s="59">
        <v>45687</v>
      </c>
      <c r="J32" s="55" t="s">
        <v>112</v>
      </c>
      <c r="K32" s="55" t="s">
        <v>113</v>
      </c>
      <c r="L32" t="s">
        <v>114</v>
      </c>
    </row>
    <row r="33" spans="1:12">
      <c r="A33" s="54">
        <v>12088</v>
      </c>
      <c r="B33" s="55" t="s">
        <v>11</v>
      </c>
      <c r="C33" s="55" t="s">
        <v>18</v>
      </c>
      <c r="D33" s="55" t="s">
        <v>115</v>
      </c>
      <c r="E33" s="56">
        <v>528493.86</v>
      </c>
      <c r="F33" s="56">
        <v>527356.72</v>
      </c>
      <c r="G33" s="57">
        <v>1</v>
      </c>
      <c r="H33" s="61">
        <v>0.998</v>
      </c>
      <c r="I33" s="59">
        <v>45456</v>
      </c>
      <c r="J33" s="55" t="s">
        <v>116</v>
      </c>
      <c r="K33" s="55" t="s">
        <v>81</v>
      </c>
      <c r="L33" t="s">
        <v>117</v>
      </c>
    </row>
    <row r="34" spans="1:12">
      <c r="A34" s="54">
        <v>12616</v>
      </c>
      <c r="B34" s="55" t="s">
        <v>11</v>
      </c>
      <c r="C34" s="55" t="s">
        <v>18</v>
      </c>
      <c r="D34" s="55" t="s">
        <v>118</v>
      </c>
      <c r="E34" s="56">
        <v>1247408.29</v>
      </c>
      <c r="F34" s="56">
        <v>1241779.23</v>
      </c>
      <c r="G34" s="57">
        <v>1</v>
      </c>
      <c r="H34" s="61">
        <v>0.998</v>
      </c>
      <c r="I34" s="59">
        <v>45916</v>
      </c>
      <c r="J34" s="55" t="s">
        <v>23</v>
      </c>
      <c r="K34" s="55" t="s">
        <v>24</v>
      </c>
      <c r="L34" t="s">
        <v>119</v>
      </c>
    </row>
    <row r="35" spans="1:12">
      <c r="A35" s="54">
        <v>11327</v>
      </c>
      <c r="B35" s="55" t="s">
        <v>11</v>
      </c>
      <c r="C35" s="55" t="s">
        <v>55</v>
      </c>
      <c r="D35" s="55" t="s">
        <v>120</v>
      </c>
      <c r="E35" s="56">
        <v>1043605.31</v>
      </c>
      <c r="F35" s="56">
        <v>1029301.45</v>
      </c>
      <c r="G35" s="57">
        <v>1</v>
      </c>
      <c r="H35" s="61">
        <v>0.998</v>
      </c>
      <c r="I35" s="59">
        <v>45568</v>
      </c>
      <c r="J35" s="55" t="s">
        <v>105</v>
      </c>
      <c r="K35" s="55" t="s">
        <v>81</v>
      </c>
      <c r="L35" t="s">
        <v>14</v>
      </c>
    </row>
    <row r="36" spans="1:12">
      <c r="A36" s="54">
        <v>11264</v>
      </c>
      <c r="B36" s="55" t="s">
        <v>11</v>
      </c>
      <c r="C36" s="55" t="s">
        <v>69</v>
      </c>
      <c r="D36" s="55" t="s">
        <v>121</v>
      </c>
      <c r="E36" s="56">
        <v>790292.12</v>
      </c>
      <c r="F36" s="56">
        <v>789097.25</v>
      </c>
      <c r="G36" s="57">
        <v>1</v>
      </c>
      <c r="H36" s="61">
        <v>0.998</v>
      </c>
      <c r="I36" s="59">
        <v>45777</v>
      </c>
      <c r="J36" s="55" t="s">
        <v>35</v>
      </c>
      <c r="K36" s="55" t="s">
        <v>36</v>
      </c>
      <c r="L36" t="s">
        <v>122</v>
      </c>
    </row>
    <row r="37" spans="1:12">
      <c r="A37" s="54">
        <v>8949</v>
      </c>
      <c r="B37" s="55" t="s">
        <v>11</v>
      </c>
      <c r="C37" s="55" t="s">
        <v>87</v>
      </c>
      <c r="D37" s="55" t="s">
        <v>123</v>
      </c>
      <c r="E37" s="56">
        <v>89624.69</v>
      </c>
      <c r="F37" s="56">
        <v>89495.43</v>
      </c>
      <c r="G37" s="57">
        <v>1</v>
      </c>
      <c r="H37" s="61">
        <v>0.998</v>
      </c>
      <c r="I37" s="59">
        <v>45033</v>
      </c>
      <c r="J37" s="55" t="s">
        <v>124</v>
      </c>
      <c r="K37" s="55" t="s">
        <v>81</v>
      </c>
      <c r="L37" t="s">
        <v>125</v>
      </c>
    </row>
    <row r="38" spans="1:12">
      <c r="A38" s="54">
        <v>12565</v>
      </c>
      <c r="B38" s="55" t="s">
        <v>11</v>
      </c>
      <c r="C38" s="55" t="s">
        <v>18</v>
      </c>
      <c r="D38" s="55" t="s">
        <v>126</v>
      </c>
      <c r="E38" s="56">
        <v>2674086.85</v>
      </c>
      <c r="F38" s="56">
        <v>2670164.54</v>
      </c>
      <c r="G38" s="57">
        <v>1</v>
      </c>
      <c r="H38" s="61">
        <v>0.998</v>
      </c>
      <c r="I38" s="59">
        <v>45799</v>
      </c>
      <c r="J38" s="55" t="s">
        <v>14</v>
      </c>
      <c r="K38" s="55" t="s">
        <v>28</v>
      </c>
      <c r="L38" t="s">
        <v>14</v>
      </c>
    </row>
    <row r="39" spans="1:12">
      <c r="A39" s="54">
        <v>10273</v>
      </c>
      <c r="B39" s="55" t="s">
        <v>11</v>
      </c>
      <c r="C39" s="55" t="s">
        <v>55</v>
      </c>
      <c r="D39" s="55" t="s">
        <v>127</v>
      </c>
      <c r="E39" s="56">
        <v>698421.85</v>
      </c>
      <c r="F39" s="56">
        <v>697508.05</v>
      </c>
      <c r="G39" s="57">
        <v>1</v>
      </c>
      <c r="H39" s="61">
        <v>0.999</v>
      </c>
      <c r="I39" s="59">
        <v>45503</v>
      </c>
      <c r="J39" s="55" t="s">
        <v>128</v>
      </c>
      <c r="K39" s="55" t="s">
        <v>47</v>
      </c>
      <c r="L39" t="s">
        <v>14</v>
      </c>
    </row>
    <row r="40" spans="1:12">
      <c r="A40" s="54">
        <v>13024</v>
      </c>
      <c r="B40" s="55" t="s">
        <v>11</v>
      </c>
      <c r="C40" s="55" t="s">
        <v>18</v>
      </c>
      <c r="D40" s="55" t="s">
        <v>129</v>
      </c>
      <c r="E40" s="56">
        <v>1235868</v>
      </c>
      <c r="F40" s="56">
        <v>1234757.42</v>
      </c>
      <c r="G40" s="57">
        <v>1</v>
      </c>
      <c r="H40" s="61">
        <v>0.999</v>
      </c>
      <c r="I40" s="59">
        <v>45709</v>
      </c>
      <c r="J40" s="55" t="s">
        <v>130</v>
      </c>
      <c r="K40" s="55" t="s">
        <v>28</v>
      </c>
      <c r="L40" t="s">
        <v>131</v>
      </c>
    </row>
    <row r="41" spans="1:12">
      <c r="A41" s="54">
        <v>14455</v>
      </c>
      <c r="B41" s="55" t="s">
        <v>11</v>
      </c>
      <c r="C41" s="55" t="s">
        <v>12</v>
      </c>
      <c r="D41" s="55" t="s">
        <v>132</v>
      </c>
      <c r="E41" s="56">
        <v>611575.43</v>
      </c>
      <c r="F41" s="56">
        <v>611359.32</v>
      </c>
      <c r="G41" s="57">
        <v>1</v>
      </c>
      <c r="H41" s="61">
        <v>1</v>
      </c>
      <c r="I41" s="59">
        <v>45820</v>
      </c>
      <c r="J41" s="55" t="s">
        <v>133</v>
      </c>
      <c r="K41" s="55" t="s">
        <v>81</v>
      </c>
      <c r="L41" t="s">
        <v>134</v>
      </c>
    </row>
    <row r="42" spans="1:12">
      <c r="A42" s="54">
        <v>11931</v>
      </c>
      <c r="B42" s="55" t="s">
        <v>11</v>
      </c>
      <c r="C42" s="55" t="s">
        <v>18</v>
      </c>
      <c r="D42" s="55" t="s">
        <v>135</v>
      </c>
      <c r="E42" s="56">
        <v>1850932.82</v>
      </c>
      <c r="F42" s="56">
        <v>1847320.11</v>
      </c>
      <c r="G42" s="57">
        <v>1</v>
      </c>
      <c r="H42" s="61">
        <v>1</v>
      </c>
      <c r="I42" s="59">
        <v>45939</v>
      </c>
      <c r="J42" s="55" t="s">
        <v>136</v>
      </c>
      <c r="K42" s="55" t="s">
        <v>137</v>
      </c>
      <c r="L42" t="s">
        <v>14</v>
      </c>
    </row>
    <row r="43" spans="1:12">
      <c r="A43" s="54">
        <v>5721</v>
      </c>
      <c r="B43" s="55" t="s">
        <v>11</v>
      </c>
      <c r="C43" s="55" t="s">
        <v>138</v>
      </c>
      <c r="D43" s="55" t="s">
        <v>139</v>
      </c>
      <c r="E43" s="56">
        <v>1142834.77</v>
      </c>
      <c r="F43" s="56">
        <v>1103447.19</v>
      </c>
      <c r="G43" s="57">
        <v>1</v>
      </c>
      <c r="H43" s="61">
        <v>1</v>
      </c>
      <c r="I43" s="59">
        <v>45313</v>
      </c>
      <c r="J43" s="55" t="s">
        <v>36</v>
      </c>
      <c r="K43" s="55" t="s">
        <v>36</v>
      </c>
      <c r="L43" t="s">
        <v>14</v>
      </c>
    </row>
    <row r="44" spans="1:12">
      <c r="A44" s="54">
        <v>12629</v>
      </c>
      <c r="B44" s="55" t="s">
        <v>11</v>
      </c>
      <c r="C44" s="55" t="s">
        <v>55</v>
      </c>
      <c r="D44" s="55" t="s">
        <v>140</v>
      </c>
      <c r="E44" s="56">
        <v>428229.7</v>
      </c>
      <c r="F44" s="56">
        <v>417202.88</v>
      </c>
      <c r="G44" s="57">
        <v>1</v>
      </c>
      <c r="H44" s="61">
        <v>1</v>
      </c>
      <c r="I44" s="59">
        <v>46113</v>
      </c>
      <c r="J44" s="55" t="s">
        <v>141</v>
      </c>
      <c r="K44" s="55" t="s">
        <v>24</v>
      </c>
      <c r="L44" t="s">
        <v>14</v>
      </c>
    </row>
    <row r="45" spans="1:12">
      <c r="A45" s="54">
        <v>11097</v>
      </c>
      <c r="B45" s="55" t="s">
        <v>11</v>
      </c>
      <c r="C45" s="55" t="s">
        <v>55</v>
      </c>
      <c r="D45" s="55" t="s">
        <v>142</v>
      </c>
      <c r="E45" s="56">
        <v>478756.66</v>
      </c>
      <c r="F45" s="56">
        <v>493471.21</v>
      </c>
      <c r="G45" s="57">
        <v>1</v>
      </c>
      <c r="H45" s="61">
        <v>1</v>
      </c>
      <c r="I45" s="59">
        <v>45929</v>
      </c>
      <c r="J45" s="55" t="s">
        <v>143</v>
      </c>
      <c r="K45" s="55" t="s">
        <v>67</v>
      </c>
      <c r="L45" t="s">
        <v>14</v>
      </c>
    </row>
    <row r="46" spans="1:12">
      <c r="A46" s="54">
        <v>10813</v>
      </c>
      <c r="B46" s="55" t="s">
        <v>11</v>
      </c>
      <c r="C46" s="55" t="s">
        <v>33</v>
      </c>
      <c r="D46" s="55" t="s">
        <v>144</v>
      </c>
      <c r="E46" s="56">
        <v>3178291.59</v>
      </c>
      <c r="F46" s="56">
        <v>3178291.59</v>
      </c>
      <c r="G46" s="57">
        <v>1</v>
      </c>
      <c r="H46" s="61">
        <v>1</v>
      </c>
      <c r="I46" s="60">
        <v>45594</v>
      </c>
      <c r="J46" s="55" t="s">
        <v>145</v>
      </c>
      <c r="K46" s="55" t="s">
        <v>24</v>
      </c>
      <c r="L46" t="s">
        <v>146</v>
      </c>
    </row>
    <row r="47" spans="1:12">
      <c r="A47" s="54">
        <v>10892</v>
      </c>
      <c r="B47" s="55" t="s">
        <v>11</v>
      </c>
      <c r="C47" s="55" t="s">
        <v>16</v>
      </c>
      <c r="D47" s="55" t="s">
        <v>147</v>
      </c>
      <c r="E47" s="56">
        <v>4177869.31</v>
      </c>
      <c r="F47" s="56">
        <v>4177869.31</v>
      </c>
      <c r="G47" s="57">
        <v>1</v>
      </c>
      <c r="H47" s="61">
        <v>1</v>
      </c>
      <c r="I47" s="59">
        <v>45833</v>
      </c>
      <c r="J47" s="55" t="s">
        <v>145</v>
      </c>
      <c r="K47" s="55" t="s">
        <v>24</v>
      </c>
      <c r="L47" t="s">
        <v>148</v>
      </c>
    </row>
    <row r="48" spans="1:12">
      <c r="A48" s="54">
        <v>10557</v>
      </c>
      <c r="B48" s="55" t="s">
        <v>11</v>
      </c>
      <c r="C48" s="55" t="s">
        <v>52</v>
      </c>
      <c r="D48" s="55" t="s">
        <v>149</v>
      </c>
      <c r="E48" s="56">
        <v>121140.98</v>
      </c>
      <c r="F48" s="56">
        <v>121140.98</v>
      </c>
      <c r="G48" s="57">
        <v>1</v>
      </c>
      <c r="H48" s="61">
        <v>1</v>
      </c>
      <c r="I48" s="59">
        <v>45665</v>
      </c>
      <c r="J48" s="55" t="s">
        <v>54</v>
      </c>
      <c r="K48" s="55" t="s">
        <v>47</v>
      </c>
      <c r="L48" t="s">
        <v>150</v>
      </c>
    </row>
    <row r="49" spans="1:12">
      <c r="A49" s="54">
        <v>10699</v>
      </c>
      <c r="B49" s="55" t="s">
        <v>11</v>
      </c>
      <c r="C49" s="55" t="s">
        <v>151</v>
      </c>
      <c r="D49" s="55" t="s">
        <v>152</v>
      </c>
      <c r="E49" s="56">
        <v>540430.5</v>
      </c>
      <c r="F49" s="56">
        <v>540430.5</v>
      </c>
      <c r="G49" s="57">
        <v>1</v>
      </c>
      <c r="H49" s="61">
        <v>1</v>
      </c>
      <c r="I49" s="59">
        <v>45386</v>
      </c>
      <c r="J49" s="55" t="s">
        <v>153</v>
      </c>
      <c r="K49" s="55" t="s">
        <v>24</v>
      </c>
      <c r="L49" t="s">
        <v>14</v>
      </c>
    </row>
    <row r="50" spans="1:12">
      <c r="A50" s="54">
        <v>10681</v>
      </c>
      <c r="B50" s="55" t="s">
        <v>11</v>
      </c>
      <c r="C50" s="55" t="s">
        <v>87</v>
      </c>
      <c r="D50" s="55" t="s">
        <v>154</v>
      </c>
      <c r="E50" s="56">
        <v>104527.79</v>
      </c>
      <c r="F50" s="56">
        <v>102733.67</v>
      </c>
      <c r="G50" s="57">
        <v>1</v>
      </c>
      <c r="H50" s="61">
        <v>1</v>
      </c>
      <c r="I50" s="59">
        <v>45175</v>
      </c>
      <c r="J50" s="55" t="s">
        <v>155</v>
      </c>
      <c r="K50" s="55" t="s">
        <v>81</v>
      </c>
      <c r="L50" t="s">
        <v>156</v>
      </c>
    </row>
    <row r="51" spans="1:12">
      <c r="A51" s="54">
        <v>10690</v>
      </c>
      <c r="B51" s="55" t="s">
        <v>11</v>
      </c>
      <c r="C51" s="55" t="s">
        <v>151</v>
      </c>
      <c r="D51" s="55" t="s">
        <v>157</v>
      </c>
      <c r="E51" s="56">
        <v>711630.56</v>
      </c>
      <c r="F51" s="56">
        <v>729094.95</v>
      </c>
      <c r="G51" s="57">
        <v>1</v>
      </c>
      <c r="H51" s="61">
        <v>1</v>
      </c>
      <c r="I51" s="60">
        <v>45254</v>
      </c>
      <c r="J51" s="55" t="s">
        <v>158</v>
      </c>
      <c r="K51" s="55" t="s">
        <v>81</v>
      </c>
      <c r="L51" t="s">
        <v>159</v>
      </c>
    </row>
    <row r="52" spans="1:12">
      <c r="A52" s="54">
        <v>9779</v>
      </c>
      <c r="B52" s="55" t="s">
        <v>11</v>
      </c>
      <c r="C52" s="55" t="s">
        <v>18</v>
      </c>
      <c r="D52" s="55" t="s">
        <v>160</v>
      </c>
      <c r="E52" s="56">
        <v>776472.23</v>
      </c>
      <c r="F52" s="56">
        <v>775693.71</v>
      </c>
      <c r="G52" s="57">
        <v>1</v>
      </c>
      <c r="H52" s="61">
        <v>1</v>
      </c>
      <c r="I52" s="59">
        <v>45014</v>
      </c>
      <c r="J52" s="55" t="s">
        <v>63</v>
      </c>
      <c r="K52" s="55" t="s">
        <v>28</v>
      </c>
      <c r="L52" t="s">
        <v>14</v>
      </c>
    </row>
    <row r="53" spans="1:12">
      <c r="A53" s="54">
        <v>9166</v>
      </c>
      <c r="B53" s="55" t="s">
        <v>11</v>
      </c>
      <c r="C53" s="55" t="s">
        <v>87</v>
      </c>
      <c r="D53" s="55" t="s">
        <v>161</v>
      </c>
      <c r="E53" s="56">
        <v>252819.47</v>
      </c>
      <c r="F53" s="56">
        <v>252819.34</v>
      </c>
      <c r="G53" s="57">
        <v>1</v>
      </c>
      <c r="H53" s="61">
        <v>1</v>
      </c>
      <c r="I53" s="59">
        <v>45001</v>
      </c>
      <c r="J53" s="55" t="s">
        <v>162</v>
      </c>
      <c r="K53" s="55" t="s">
        <v>28</v>
      </c>
      <c r="L53" t="s">
        <v>163</v>
      </c>
    </row>
    <row r="54" spans="1:12">
      <c r="A54" s="54">
        <v>12238</v>
      </c>
      <c r="B54" s="55" t="s">
        <v>11</v>
      </c>
      <c r="C54" s="55" t="s">
        <v>12</v>
      </c>
      <c r="D54" s="55" t="s">
        <v>164</v>
      </c>
      <c r="E54" s="56">
        <v>876395.48</v>
      </c>
      <c r="F54" s="56">
        <v>876395.48</v>
      </c>
      <c r="G54" s="57">
        <v>1</v>
      </c>
      <c r="H54" s="61">
        <v>1</v>
      </c>
      <c r="I54" s="59">
        <v>45446</v>
      </c>
      <c r="J54" s="55" t="s">
        <v>165</v>
      </c>
      <c r="K54" s="55" t="s">
        <v>28</v>
      </c>
      <c r="L54" t="s">
        <v>166</v>
      </c>
    </row>
    <row r="55" spans="1:12">
      <c r="A55" s="54">
        <v>8898</v>
      </c>
      <c r="B55" s="55" t="s">
        <v>11</v>
      </c>
      <c r="C55" s="55" t="s">
        <v>38</v>
      </c>
      <c r="D55" s="55" t="s">
        <v>167</v>
      </c>
      <c r="E55" s="56">
        <v>434605.09</v>
      </c>
      <c r="F55" s="56">
        <v>444820.65</v>
      </c>
      <c r="G55" s="57">
        <v>1</v>
      </c>
      <c r="H55" s="61">
        <v>1</v>
      </c>
      <c r="I55" s="59">
        <v>45043</v>
      </c>
      <c r="J55" s="55" t="s">
        <v>168</v>
      </c>
      <c r="K55" s="55" t="s">
        <v>28</v>
      </c>
      <c r="L55" t="s">
        <v>169</v>
      </c>
    </row>
    <row r="56" spans="1:12">
      <c r="A56" s="54">
        <v>10552</v>
      </c>
      <c r="B56" s="55" t="s">
        <v>11</v>
      </c>
      <c r="C56" s="55" t="s">
        <v>25</v>
      </c>
      <c r="D56" s="55" t="s">
        <v>170</v>
      </c>
      <c r="E56" s="56">
        <v>1853753.39</v>
      </c>
      <c r="F56" s="56">
        <v>1832986.82</v>
      </c>
      <c r="G56" s="57">
        <v>1</v>
      </c>
      <c r="H56" s="61">
        <v>1</v>
      </c>
      <c r="I56" s="59">
        <v>45536</v>
      </c>
      <c r="J56" s="55" t="s">
        <v>171</v>
      </c>
      <c r="K56" s="55" t="s">
        <v>47</v>
      </c>
      <c r="L56" t="s">
        <v>14</v>
      </c>
    </row>
    <row r="57" spans="1:12">
      <c r="A57" s="54">
        <v>12285</v>
      </c>
      <c r="B57" s="55" t="s">
        <v>11</v>
      </c>
      <c r="C57" s="55" t="s">
        <v>91</v>
      </c>
      <c r="D57" s="55" t="s">
        <v>172</v>
      </c>
      <c r="E57" s="56">
        <v>516710.48</v>
      </c>
      <c r="F57" s="56">
        <v>516707.47</v>
      </c>
      <c r="G57" s="57">
        <v>1</v>
      </c>
      <c r="H57" s="61">
        <v>1</v>
      </c>
      <c r="I57" s="59">
        <v>45846</v>
      </c>
      <c r="J57" s="55" t="s">
        <v>43</v>
      </c>
      <c r="K57" s="55" t="s">
        <v>67</v>
      </c>
      <c r="L57" t="s">
        <v>14</v>
      </c>
    </row>
    <row r="58" spans="1:12">
      <c r="A58" s="54">
        <v>11411</v>
      </c>
      <c r="B58" s="55" t="s">
        <v>11</v>
      </c>
      <c r="C58" s="55" t="s">
        <v>173</v>
      </c>
      <c r="D58" s="55" t="s">
        <v>174</v>
      </c>
      <c r="E58" s="56">
        <v>532328.7</v>
      </c>
      <c r="F58" s="56">
        <v>532328.69</v>
      </c>
      <c r="G58" s="57">
        <v>1</v>
      </c>
      <c r="H58" s="61">
        <v>1</v>
      </c>
      <c r="I58" s="59">
        <v>45405</v>
      </c>
      <c r="J58" s="55" t="s">
        <v>175</v>
      </c>
      <c r="K58" s="55" t="s">
        <v>81</v>
      </c>
      <c r="L58" t="s">
        <v>14</v>
      </c>
    </row>
    <row r="59" spans="1:12">
      <c r="A59" s="54">
        <v>10569</v>
      </c>
      <c r="B59" s="55" t="s">
        <v>11</v>
      </c>
      <c r="C59" s="55" t="s">
        <v>83</v>
      </c>
      <c r="D59" s="55" t="s">
        <v>176</v>
      </c>
      <c r="E59" s="56">
        <v>1235811.32</v>
      </c>
      <c r="F59" s="56">
        <v>1235811.31</v>
      </c>
      <c r="G59" s="57">
        <v>1</v>
      </c>
      <c r="H59" s="61">
        <v>1</v>
      </c>
      <c r="I59" s="59">
        <v>45093</v>
      </c>
      <c r="J59" s="55" t="s">
        <v>177</v>
      </c>
      <c r="K59" s="55" t="s">
        <v>28</v>
      </c>
      <c r="L59" t="s">
        <v>14</v>
      </c>
    </row>
    <row r="60" spans="1:12">
      <c r="A60" s="54">
        <v>11068</v>
      </c>
      <c r="B60" s="55" t="s">
        <v>11</v>
      </c>
      <c r="C60" s="55" t="s">
        <v>41</v>
      </c>
      <c r="D60" s="55" t="s">
        <v>178</v>
      </c>
      <c r="E60" s="56">
        <v>3714692.29</v>
      </c>
      <c r="F60" s="56">
        <v>3714692.28</v>
      </c>
      <c r="G60" s="57">
        <v>1</v>
      </c>
      <c r="H60" s="61">
        <v>1</v>
      </c>
      <c r="I60" s="59">
        <v>45351</v>
      </c>
      <c r="J60" s="55" t="s">
        <v>179</v>
      </c>
      <c r="K60" s="55" t="s">
        <v>81</v>
      </c>
      <c r="L60" t="s">
        <v>180</v>
      </c>
    </row>
    <row r="61" spans="1:12">
      <c r="A61" s="54">
        <v>13501</v>
      </c>
      <c r="B61" s="55" t="s">
        <v>11</v>
      </c>
      <c r="C61" s="55" t="s">
        <v>91</v>
      </c>
      <c r="D61" s="55" t="s">
        <v>181</v>
      </c>
      <c r="E61" s="56">
        <v>1015475.17</v>
      </c>
      <c r="F61" s="56">
        <v>1015475.17</v>
      </c>
      <c r="G61" s="57">
        <v>1</v>
      </c>
      <c r="H61" s="61">
        <v>1</v>
      </c>
      <c r="I61" s="59">
        <v>45761</v>
      </c>
      <c r="J61" s="55" t="s">
        <v>158</v>
      </c>
      <c r="K61" s="55" t="s">
        <v>81</v>
      </c>
      <c r="L61" t="s">
        <v>14</v>
      </c>
    </row>
    <row r="62" spans="1:12">
      <c r="A62" s="54">
        <v>10100</v>
      </c>
      <c r="B62" s="55" t="s">
        <v>11</v>
      </c>
      <c r="C62" s="55" t="s">
        <v>173</v>
      </c>
      <c r="D62" s="55" t="s">
        <v>182</v>
      </c>
      <c r="E62" s="56">
        <v>973623.05</v>
      </c>
      <c r="F62" s="56">
        <v>973623.05</v>
      </c>
      <c r="G62" s="57">
        <v>1</v>
      </c>
      <c r="H62" s="61">
        <v>1</v>
      </c>
      <c r="I62" s="59">
        <v>45121</v>
      </c>
      <c r="J62" s="55" t="s">
        <v>14</v>
      </c>
      <c r="K62" s="55" t="s">
        <v>28</v>
      </c>
      <c r="L62" t="s">
        <v>14</v>
      </c>
    </row>
    <row r="63" spans="1:12">
      <c r="A63" s="54">
        <v>8617</v>
      </c>
      <c r="B63" s="55" t="s">
        <v>11</v>
      </c>
      <c r="C63" s="55" t="s">
        <v>38</v>
      </c>
      <c r="D63" s="55" t="s">
        <v>183</v>
      </c>
      <c r="E63" s="56">
        <v>2783529.16</v>
      </c>
      <c r="F63" s="56">
        <v>2792633.73</v>
      </c>
      <c r="G63" s="57">
        <v>1</v>
      </c>
      <c r="H63" s="61">
        <v>1</v>
      </c>
      <c r="I63" s="59">
        <v>45629</v>
      </c>
      <c r="J63" s="55" t="s">
        <v>184</v>
      </c>
      <c r="K63" s="55" t="s">
        <v>24</v>
      </c>
      <c r="L63" t="s">
        <v>185</v>
      </c>
    </row>
    <row r="64" spans="1:12">
      <c r="A64" s="54">
        <v>14986</v>
      </c>
      <c r="B64" s="55" t="s">
        <v>11</v>
      </c>
      <c r="C64" s="55" t="s">
        <v>186</v>
      </c>
      <c r="D64" s="55" t="s">
        <v>187</v>
      </c>
      <c r="E64" s="56">
        <v>193332.67</v>
      </c>
      <c r="F64" s="56">
        <v>177800</v>
      </c>
      <c r="G64" s="57">
        <v>1</v>
      </c>
      <c r="H64" s="61">
        <v>1</v>
      </c>
      <c r="I64" s="59">
        <v>46056</v>
      </c>
      <c r="J64" s="55" t="s">
        <v>23</v>
      </c>
      <c r="K64" s="55" t="s">
        <v>24</v>
      </c>
      <c r="L64" t="s">
        <v>188</v>
      </c>
    </row>
    <row r="65" spans="1:12">
      <c r="A65" s="54">
        <v>14423</v>
      </c>
      <c r="B65" s="55" t="s">
        <v>11</v>
      </c>
      <c r="C65" s="55" t="s">
        <v>12</v>
      </c>
      <c r="D65" s="55" t="s">
        <v>189</v>
      </c>
      <c r="E65" s="56">
        <v>428996.65</v>
      </c>
      <c r="F65" s="56">
        <v>428996.65</v>
      </c>
      <c r="G65" s="57">
        <v>1</v>
      </c>
      <c r="H65" s="61">
        <v>1</v>
      </c>
      <c r="I65" s="59">
        <v>45936</v>
      </c>
      <c r="J65" s="55" t="s">
        <v>23</v>
      </c>
      <c r="K65" s="55" t="s">
        <v>24</v>
      </c>
      <c r="L65" t="s">
        <v>190</v>
      </c>
    </row>
    <row r="66" spans="1:12">
      <c r="A66" s="54">
        <v>13685</v>
      </c>
      <c r="B66" s="55" t="s">
        <v>11</v>
      </c>
      <c r="C66" s="55" t="s">
        <v>12</v>
      </c>
      <c r="D66" s="55" t="s">
        <v>191</v>
      </c>
      <c r="E66" s="56">
        <v>110149.42</v>
      </c>
      <c r="F66" s="56">
        <v>111701.06</v>
      </c>
      <c r="G66" s="57">
        <v>1</v>
      </c>
      <c r="H66" s="61">
        <v>1</v>
      </c>
      <c r="I66" s="59">
        <v>45691</v>
      </c>
      <c r="J66" s="55" t="s">
        <v>23</v>
      </c>
      <c r="K66" s="55" t="s">
        <v>24</v>
      </c>
      <c r="L66" t="s">
        <v>192</v>
      </c>
    </row>
    <row r="67" spans="1:12">
      <c r="A67" s="54">
        <v>12618</v>
      </c>
      <c r="B67" s="55" t="s">
        <v>11</v>
      </c>
      <c r="C67" s="55" t="s">
        <v>12</v>
      </c>
      <c r="D67" s="55" t="s">
        <v>193</v>
      </c>
      <c r="E67" s="56">
        <v>159769.67</v>
      </c>
      <c r="F67" s="56">
        <v>159769.67</v>
      </c>
      <c r="G67" s="57">
        <v>1</v>
      </c>
      <c r="H67" s="61">
        <v>1</v>
      </c>
      <c r="I67" s="59">
        <v>45499</v>
      </c>
      <c r="J67" s="55" t="s">
        <v>194</v>
      </c>
      <c r="K67" s="55" t="s">
        <v>47</v>
      </c>
      <c r="L67" t="s">
        <v>195</v>
      </c>
    </row>
    <row r="68" spans="1:12">
      <c r="A68" s="54">
        <v>10682</v>
      </c>
      <c r="B68" s="55" t="s">
        <v>11</v>
      </c>
      <c r="C68" s="55" t="s">
        <v>151</v>
      </c>
      <c r="D68" s="55" t="s">
        <v>196</v>
      </c>
      <c r="E68" s="56">
        <v>647970.54</v>
      </c>
      <c r="F68" s="56">
        <v>657828.32</v>
      </c>
      <c r="G68" s="57">
        <v>1</v>
      </c>
      <c r="H68" s="61">
        <v>1</v>
      </c>
      <c r="I68" s="59">
        <v>45797</v>
      </c>
      <c r="J68" s="55" t="s">
        <v>194</v>
      </c>
      <c r="K68" s="55" t="s">
        <v>47</v>
      </c>
      <c r="L68" t="s">
        <v>197</v>
      </c>
    </row>
    <row r="69" spans="1:12">
      <c r="A69" s="54">
        <v>16071</v>
      </c>
      <c r="B69" s="55" t="s">
        <v>11</v>
      </c>
      <c r="C69" s="55" t="s">
        <v>55</v>
      </c>
      <c r="D69" s="55" t="s">
        <v>198</v>
      </c>
      <c r="E69" s="56">
        <v>146760.91</v>
      </c>
      <c r="F69" s="56">
        <v>146760.91</v>
      </c>
      <c r="G69" s="57">
        <v>1</v>
      </c>
      <c r="H69" s="61">
        <v>1</v>
      </c>
      <c r="I69" s="59">
        <v>46091</v>
      </c>
      <c r="J69" s="55" t="s">
        <v>199</v>
      </c>
      <c r="K69" s="55" t="s">
        <v>81</v>
      </c>
      <c r="L69" t="s">
        <v>14</v>
      </c>
    </row>
    <row r="70" spans="1:12">
      <c r="A70" s="54">
        <v>12491</v>
      </c>
      <c r="B70" s="55" t="s">
        <v>11</v>
      </c>
      <c r="C70" s="55" t="s">
        <v>25</v>
      </c>
      <c r="D70" s="55" t="s">
        <v>200</v>
      </c>
      <c r="E70" s="56">
        <v>538461.51</v>
      </c>
      <c r="F70" s="56">
        <v>538461.51</v>
      </c>
      <c r="G70" s="57">
        <v>1</v>
      </c>
      <c r="H70" s="61">
        <v>1</v>
      </c>
      <c r="I70" s="59">
        <v>45812</v>
      </c>
      <c r="J70" s="55" t="s">
        <v>201</v>
      </c>
      <c r="K70" s="55" t="s">
        <v>24</v>
      </c>
      <c r="L70" t="s">
        <v>202</v>
      </c>
    </row>
    <row r="71" spans="1:12">
      <c r="A71" s="54">
        <v>12529</v>
      </c>
      <c r="B71" s="55" t="s">
        <v>11</v>
      </c>
      <c r="C71" s="55" t="s">
        <v>203</v>
      </c>
      <c r="D71" s="55" t="s">
        <v>204</v>
      </c>
      <c r="E71" s="56">
        <v>910843.37</v>
      </c>
      <c r="F71" s="56">
        <v>910643.37</v>
      </c>
      <c r="G71" s="57">
        <v>1</v>
      </c>
      <c r="H71" s="61">
        <v>1</v>
      </c>
      <c r="I71" s="59">
        <v>45779</v>
      </c>
      <c r="J71" s="55" t="s">
        <v>205</v>
      </c>
      <c r="K71" s="55" t="s">
        <v>24</v>
      </c>
      <c r="L71" t="s">
        <v>206</v>
      </c>
    </row>
    <row r="72" spans="1:12">
      <c r="A72" s="54">
        <v>12620</v>
      </c>
      <c r="B72" s="55" t="s">
        <v>11</v>
      </c>
      <c r="C72" s="55" t="s">
        <v>12</v>
      </c>
      <c r="D72" s="55" t="s">
        <v>207</v>
      </c>
      <c r="E72" s="56">
        <v>114468.09</v>
      </c>
      <c r="F72" s="56">
        <v>114468.09</v>
      </c>
      <c r="G72" s="57">
        <v>1</v>
      </c>
      <c r="H72" s="61">
        <v>1</v>
      </c>
      <c r="I72" s="59">
        <v>45439</v>
      </c>
      <c r="J72" s="55" t="s">
        <v>205</v>
      </c>
      <c r="K72" s="55" t="s">
        <v>24</v>
      </c>
      <c r="L72" t="s">
        <v>208</v>
      </c>
    </row>
    <row r="73" spans="1:12">
      <c r="A73" s="54">
        <v>12048</v>
      </c>
      <c r="B73" s="55" t="s">
        <v>11</v>
      </c>
      <c r="C73" s="55" t="s">
        <v>41</v>
      </c>
      <c r="D73" s="55" t="s">
        <v>209</v>
      </c>
      <c r="E73" s="56">
        <v>40960</v>
      </c>
      <c r="F73" s="56">
        <v>40960</v>
      </c>
      <c r="G73" s="57">
        <v>1</v>
      </c>
      <c r="H73" s="61">
        <v>1</v>
      </c>
      <c r="I73" s="59">
        <v>45175</v>
      </c>
      <c r="J73" s="55" t="s">
        <v>210</v>
      </c>
      <c r="K73" s="55" t="s">
        <v>36</v>
      </c>
      <c r="L73" t="s">
        <v>211</v>
      </c>
    </row>
    <row r="74" spans="1:12">
      <c r="A74" s="54">
        <v>8148</v>
      </c>
      <c r="B74" s="55" t="s">
        <v>11</v>
      </c>
      <c r="C74" s="55" t="s">
        <v>212</v>
      </c>
      <c r="D74" s="55" t="s">
        <v>213</v>
      </c>
      <c r="E74" s="56">
        <v>157560.05</v>
      </c>
      <c r="F74" s="56">
        <v>157560.05</v>
      </c>
      <c r="G74" s="57">
        <v>1</v>
      </c>
      <c r="H74" s="61">
        <v>1</v>
      </c>
      <c r="I74" s="59">
        <v>45436</v>
      </c>
      <c r="J74" s="55" t="s">
        <v>210</v>
      </c>
      <c r="K74" s="55" t="s">
        <v>36</v>
      </c>
      <c r="L74" t="s">
        <v>214</v>
      </c>
    </row>
    <row r="75" spans="1:12">
      <c r="A75" s="54">
        <v>13439</v>
      </c>
      <c r="B75" s="55" t="s">
        <v>11</v>
      </c>
      <c r="C75" s="55" t="s">
        <v>25</v>
      </c>
      <c r="D75" s="55" t="s">
        <v>215</v>
      </c>
      <c r="E75" s="56">
        <v>1280511.97</v>
      </c>
      <c r="F75" s="56">
        <v>1283294.97</v>
      </c>
      <c r="G75" s="57">
        <v>1</v>
      </c>
      <c r="H75" s="61">
        <v>1</v>
      </c>
      <c r="I75" s="59">
        <v>45995</v>
      </c>
      <c r="J75" s="55" t="s">
        <v>210</v>
      </c>
      <c r="K75" s="55" t="s">
        <v>47</v>
      </c>
      <c r="L75" t="s">
        <v>14</v>
      </c>
    </row>
    <row r="76" spans="1:12">
      <c r="A76" s="54">
        <v>14229</v>
      </c>
      <c r="B76" s="55" t="s">
        <v>11</v>
      </c>
      <c r="C76" s="55" t="s">
        <v>91</v>
      </c>
      <c r="D76" s="55" t="s">
        <v>216</v>
      </c>
      <c r="E76" s="56">
        <v>525761.94</v>
      </c>
      <c r="F76" s="56">
        <v>525761.94</v>
      </c>
      <c r="G76" s="57">
        <v>1</v>
      </c>
      <c r="H76" s="61">
        <v>1</v>
      </c>
      <c r="I76" s="59">
        <v>45755</v>
      </c>
      <c r="J76" s="55" t="s">
        <v>27</v>
      </c>
      <c r="K76" s="55" t="s">
        <v>28</v>
      </c>
      <c r="L76" t="s">
        <v>14</v>
      </c>
    </row>
    <row r="77" spans="1:12">
      <c r="A77" s="54">
        <v>9414</v>
      </c>
      <c r="B77" s="55" t="s">
        <v>11</v>
      </c>
      <c r="C77" s="55" t="s">
        <v>25</v>
      </c>
      <c r="D77" s="55" t="s">
        <v>217</v>
      </c>
      <c r="E77" s="56">
        <v>994990.95</v>
      </c>
      <c r="F77" s="56">
        <v>994946.25</v>
      </c>
      <c r="G77" s="57">
        <v>1</v>
      </c>
      <c r="H77" s="61">
        <v>1</v>
      </c>
      <c r="I77" s="59">
        <v>45504</v>
      </c>
      <c r="J77" s="55" t="s">
        <v>218</v>
      </c>
      <c r="K77" s="55" t="s">
        <v>24</v>
      </c>
      <c r="L77" t="s">
        <v>219</v>
      </c>
    </row>
    <row r="78" spans="1:12">
      <c r="A78" s="54">
        <v>12467</v>
      </c>
      <c r="B78" s="55" t="s">
        <v>11</v>
      </c>
      <c r="C78" s="55" t="s">
        <v>12</v>
      </c>
      <c r="D78" s="55" t="s">
        <v>220</v>
      </c>
      <c r="E78" s="56">
        <v>222072.38</v>
      </c>
      <c r="F78" s="56">
        <v>222072.38</v>
      </c>
      <c r="G78" s="57">
        <v>1</v>
      </c>
      <c r="H78" s="61">
        <v>1</v>
      </c>
      <c r="I78" s="59">
        <v>45452</v>
      </c>
      <c r="J78" s="55" t="s">
        <v>218</v>
      </c>
      <c r="K78" s="55" t="s">
        <v>24</v>
      </c>
      <c r="L78" t="s">
        <v>221</v>
      </c>
    </row>
    <row r="79" spans="1:12">
      <c r="A79" s="54">
        <v>14486</v>
      </c>
      <c r="B79" s="55" t="s">
        <v>11</v>
      </c>
      <c r="C79" s="55" t="s">
        <v>222</v>
      </c>
      <c r="D79" s="55" t="s">
        <v>223</v>
      </c>
      <c r="E79" s="56">
        <v>1769405</v>
      </c>
      <c r="F79" s="56">
        <v>1237850</v>
      </c>
      <c r="G79" s="57">
        <v>1</v>
      </c>
      <c r="H79" s="61">
        <v>1</v>
      </c>
      <c r="I79" s="59">
        <v>45964</v>
      </c>
      <c r="J79" s="55" t="s">
        <v>36</v>
      </c>
      <c r="K79" s="55" t="s">
        <v>36</v>
      </c>
      <c r="L79" t="s">
        <v>14</v>
      </c>
    </row>
    <row r="80" spans="1:12">
      <c r="A80" s="54">
        <v>11098</v>
      </c>
      <c r="B80" s="55" t="s">
        <v>11</v>
      </c>
      <c r="C80" s="55" t="s">
        <v>138</v>
      </c>
      <c r="D80" s="55" t="s">
        <v>224</v>
      </c>
      <c r="E80" s="56">
        <v>226553.89</v>
      </c>
      <c r="F80" s="56">
        <v>226553.89</v>
      </c>
      <c r="G80" s="57">
        <v>1</v>
      </c>
      <c r="H80" s="61">
        <v>1</v>
      </c>
      <c r="I80" s="59">
        <v>45569</v>
      </c>
      <c r="J80" s="55" t="s">
        <v>36</v>
      </c>
      <c r="K80" s="55" t="s">
        <v>36</v>
      </c>
      <c r="L80" t="s">
        <v>14</v>
      </c>
    </row>
    <row r="81" spans="1:12">
      <c r="A81" s="54">
        <v>13331</v>
      </c>
      <c r="B81" s="55" t="s">
        <v>11</v>
      </c>
      <c r="C81" s="55" t="s">
        <v>21</v>
      </c>
      <c r="D81" s="55" t="s">
        <v>225</v>
      </c>
      <c r="E81" s="56">
        <v>789244.2</v>
      </c>
      <c r="F81" s="56">
        <v>806744.17</v>
      </c>
      <c r="G81" s="57">
        <v>1</v>
      </c>
      <c r="H81" s="61">
        <v>1</v>
      </c>
      <c r="I81" s="59">
        <v>45741</v>
      </c>
      <c r="J81" s="55" t="s">
        <v>226</v>
      </c>
      <c r="K81" s="55" t="s">
        <v>28</v>
      </c>
      <c r="L81" t="s">
        <v>14</v>
      </c>
    </row>
    <row r="82" spans="1:12">
      <c r="A82" s="54">
        <v>13061</v>
      </c>
      <c r="B82" s="55" t="s">
        <v>11</v>
      </c>
      <c r="C82" s="55" t="s">
        <v>173</v>
      </c>
      <c r="D82" s="55" t="s">
        <v>227</v>
      </c>
      <c r="E82" s="56">
        <v>731650.82</v>
      </c>
      <c r="F82" s="56">
        <v>731650.82</v>
      </c>
      <c r="G82" s="57">
        <v>1</v>
      </c>
      <c r="H82" s="61">
        <v>1</v>
      </c>
      <c r="I82" s="59">
        <v>45771</v>
      </c>
      <c r="J82" s="55" t="s">
        <v>141</v>
      </c>
      <c r="K82" s="55" t="s">
        <v>47</v>
      </c>
      <c r="L82" t="s">
        <v>14</v>
      </c>
    </row>
    <row r="83" spans="1:12">
      <c r="A83" s="54">
        <v>15093</v>
      </c>
      <c r="B83" s="55" t="s">
        <v>11</v>
      </c>
      <c r="C83" s="55" t="s">
        <v>203</v>
      </c>
      <c r="D83" s="55" t="s">
        <v>228</v>
      </c>
      <c r="E83" s="56">
        <v>220690.1</v>
      </c>
      <c r="F83" s="56">
        <v>219438.48</v>
      </c>
      <c r="G83" s="57">
        <v>1</v>
      </c>
      <c r="H83" s="61">
        <v>1</v>
      </c>
      <c r="I83" s="59">
        <v>46093</v>
      </c>
      <c r="J83" s="55" t="s">
        <v>229</v>
      </c>
      <c r="K83" s="55" t="s">
        <v>81</v>
      </c>
      <c r="L83" t="s">
        <v>230</v>
      </c>
    </row>
    <row r="84" spans="1:12">
      <c r="A84" s="54">
        <v>5747</v>
      </c>
      <c r="B84" s="55" t="s">
        <v>11</v>
      </c>
      <c r="C84" s="55" t="s">
        <v>138</v>
      </c>
      <c r="D84" s="55" t="s">
        <v>231</v>
      </c>
      <c r="E84" s="56">
        <v>1423318.3</v>
      </c>
      <c r="F84" s="56">
        <v>1423317.99</v>
      </c>
      <c r="G84" s="57">
        <v>1</v>
      </c>
      <c r="H84" s="61">
        <v>1</v>
      </c>
      <c r="I84" s="59">
        <v>45058</v>
      </c>
      <c r="J84" s="55" t="s">
        <v>232</v>
      </c>
      <c r="K84" s="55" t="s">
        <v>24</v>
      </c>
      <c r="L84" t="s">
        <v>233</v>
      </c>
    </row>
    <row r="85" spans="1:12">
      <c r="A85" s="54">
        <v>11556</v>
      </c>
      <c r="B85" s="55" t="s">
        <v>11</v>
      </c>
      <c r="C85" s="55" t="s">
        <v>16</v>
      </c>
      <c r="D85" s="55" t="s">
        <v>234</v>
      </c>
      <c r="E85" s="56">
        <v>4826492.16</v>
      </c>
      <c r="F85" s="56">
        <v>4832715.14</v>
      </c>
      <c r="G85" s="57">
        <v>1</v>
      </c>
      <c r="H85" s="61">
        <v>1</v>
      </c>
      <c r="I85" s="59">
        <v>45833</v>
      </c>
      <c r="J85" s="55" t="s">
        <v>235</v>
      </c>
      <c r="K85" s="55" t="s">
        <v>67</v>
      </c>
      <c r="L85" t="s">
        <v>236</v>
      </c>
    </row>
    <row r="86" spans="1:12">
      <c r="A86" s="54">
        <v>10700</v>
      </c>
      <c r="B86" s="55" t="s">
        <v>11</v>
      </c>
      <c r="C86" s="55" t="s">
        <v>29</v>
      </c>
      <c r="D86" s="55" t="s">
        <v>237</v>
      </c>
      <c r="E86" s="56">
        <v>9704252.63</v>
      </c>
      <c r="F86" s="56">
        <v>9674775.42</v>
      </c>
      <c r="G86" s="57">
        <v>1</v>
      </c>
      <c r="H86" s="61">
        <v>1</v>
      </c>
      <c r="I86" s="59">
        <v>45411</v>
      </c>
      <c r="J86" s="55" t="s">
        <v>238</v>
      </c>
      <c r="K86" s="55" t="s">
        <v>24</v>
      </c>
      <c r="L86" t="s">
        <v>14</v>
      </c>
    </row>
    <row r="87" spans="1:12">
      <c r="A87" s="54">
        <v>9424</v>
      </c>
      <c r="B87" s="55" t="s">
        <v>11</v>
      </c>
      <c r="C87" s="55" t="s">
        <v>61</v>
      </c>
      <c r="D87" s="55" t="s">
        <v>239</v>
      </c>
      <c r="E87" s="56">
        <v>631101.15</v>
      </c>
      <c r="F87" s="56">
        <v>631101.15</v>
      </c>
      <c r="G87" s="57">
        <v>1</v>
      </c>
      <c r="H87" s="61">
        <v>1</v>
      </c>
      <c r="I87" s="59">
        <v>45046</v>
      </c>
      <c r="J87" s="55" t="s">
        <v>40</v>
      </c>
      <c r="K87" s="55" t="s">
        <v>240</v>
      </c>
      <c r="L87" t="s">
        <v>241</v>
      </c>
    </row>
    <row r="88" spans="1:12">
      <c r="A88" s="54">
        <v>12805</v>
      </c>
      <c r="B88" s="55" t="s">
        <v>11</v>
      </c>
      <c r="C88" s="55" t="s">
        <v>21</v>
      </c>
      <c r="D88" s="55" t="s">
        <v>242</v>
      </c>
      <c r="E88" s="56">
        <v>387525.02</v>
      </c>
      <c r="F88" s="56">
        <v>387525.02</v>
      </c>
      <c r="G88" s="57">
        <v>1</v>
      </c>
      <c r="H88" s="61">
        <v>1</v>
      </c>
      <c r="I88" s="59">
        <v>45785</v>
      </c>
      <c r="J88" s="55" t="s">
        <v>243</v>
      </c>
      <c r="K88" s="55" t="s">
        <v>67</v>
      </c>
      <c r="L88" t="s">
        <v>14</v>
      </c>
    </row>
    <row r="89" spans="1:12">
      <c r="A89" s="54">
        <v>13549</v>
      </c>
      <c r="B89" s="55" t="s">
        <v>11</v>
      </c>
      <c r="C89" s="55" t="s">
        <v>91</v>
      </c>
      <c r="D89" s="55" t="s">
        <v>244</v>
      </c>
      <c r="E89" s="56">
        <v>609951.79</v>
      </c>
      <c r="F89" s="56">
        <v>609951.79</v>
      </c>
      <c r="G89" s="57">
        <v>1</v>
      </c>
      <c r="H89" s="61">
        <v>1</v>
      </c>
      <c r="I89" s="59">
        <v>45894</v>
      </c>
      <c r="J89" s="55" t="s">
        <v>245</v>
      </c>
      <c r="K89" s="55" t="s">
        <v>67</v>
      </c>
      <c r="L89" t="s">
        <v>246</v>
      </c>
    </row>
    <row r="90" spans="1:12">
      <c r="A90" s="54">
        <v>10475</v>
      </c>
      <c r="B90" s="55" t="s">
        <v>11</v>
      </c>
      <c r="C90" s="55" t="s">
        <v>38</v>
      </c>
      <c r="D90" s="55" t="s">
        <v>247</v>
      </c>
      <c r="E90" s="56">
        <v>22238511.32</v>
      </c>
      <c r="F90" s="56">
        <v>22226847.19</v>
      </c>
      <c r="G90" s="57">
        <v>1</v>
      </c>
      <c r="H90" s="61">
        <v>1</v>
      </c>
      <c r="I90" s="59">
        <v>45496</v>
      </c>
      <c r="J90" s="55" t="s">
        <v>143</v>
      </c>
      <c r="K90" s="55" t="s">
        <v>67</v>
      </c>
      <c r="L90" t="s">
        <v>248</v>
      </c>
    </row>
    <row r="91" spans="1:12">
      <c r="A91" s="54">
        <v>13066</v>
      </c>
      <c r="B91" s="55" t="s">
        <v>11</v>
      </c>
      <c r="C91" s="55" t="s">
        <v>83</v>
      </c>
      <c r="D91" s="55" t="s">
        <v>249</v>
      </c>
      <c r="E91" s="56">
        <v>524731.06</v>
      </c>
      <c r="F91" s="56">
        <v>524731.06</v>
      </c>
      <c r="G91" s="57">
        <v>1</v>
      </c>
      <c r="H91" s="61">
        <v>1</v>
      </c>
      <c r="I91" s="59">
        <v>45855</v>
      </c>
      <c r="J91" s="55" t="s">
        <v>250</v>
      </c>
      <c r="K91" s="55" t="s">
        <v>251</v>
      </c>
      <c r="L91" t="s">
        <v>252</v>
      </c>
    </row>
    <row r="92" spans="1:12">
      <c r="A92" s="54">
        <v>15979</v>
      </c>
      <c r="B92" s="55" t="s">
        <v>11</v>
      </c>
      <c r="C92" s="55" t="s">
        <v>16</v>
      </c>
      <c r="D92" s="55" t="s">
        <v>253</v>
      </c>
      <c r="E92" s="56">
        <v>430000</v>
      </c>
      <c r="F92" s="56">
        <v>424840</v>
      </c>
      <c r="G92" s="57">
        <v>1</v>
      </c>
      <c r="H92" s="61">
        <v>1</v>
      </c>
      <c r="I92" s="60">
        <v>45978</v>
      </c>
      <c r="J92" s="55" t="s">
        <v>254</v>
      </c>
      <c r="K92" s="55" t="s">
        <v>36</v>
      </c>
      <c r="L92" t="s">
        <v>255</v>
      </c>
    </row>
    <row r="93" spans="1:12">
      <c r="A93" s="54">
        <v>13403</v>
      </c>
      <c r="B93" s="55" t="s">
        <v>11</v>
      </c>
      <c r="C93" s="55" t="s">
        <v>25</v>
      </c>
      <c r="D93" s="55" t="s">
        <v>256</v>
      </c>
      <c r="E93" s="56">
        <v>574751.03</v>
      </c>
      <c r="F93" s="56">
        <v>400965.06</v>
      </c>
      <c r="G93" s="57">
        <v>1</v>
      </c>
      <c r="H93" s="61">
        <v>1</v>
      </c>
      <c r="I93" s="60">
        <v>45978</v>
      </c>
      <c r="J93" s="55" t="s">
        <v>257</v>
      </c>
      <c r="K93" s="55" t="s">
        <v>81</v>
      </c>
      <c r="L93" t="s">
        <v>14</v>
      </c>
    </row>
    <row r="94" spans="1:12">
      <c r="A94" s="54">
        <v>12530</v>
      </c>
      <c r="B94" s="55" t="s">
        <v>11</v>
      </c>
      <c r="C94" s="55" t="s">
        <v>25</v>
      </c>
      <c r="D94" s="55" t="s">
        <v>258</v>
      </c>
      <c r="E94" s="56">
        <v>493154.78</v>
      </c>
      <c r="F94" s="56">
        <v>493154.78</v>
      </c>
      <c r="G94" s="57">
        <v>1</v>
      </c>
      <c r="H94" s="61">
        <v>1</v>
      </c>
      <c r="I94" s="59">
        <v>45628</v>
      </c>
      <c r="J94" s="55" t="s">
        <v>259</v>
      </c>
      <c r="K94" s="55" t="s">
        <v>81</v>
      </c>
      <c r="L94" t="s">
        <v>260</v>
      </c>
    </row>
    <row r="95" spans="1:12">
      <c r="A95" s="54">
        <v>7610</v>
      </c>
      <c r="B95" s="55" t="s">
        <v>11</v>
      </c>
      <c r="C95" s="55" t="s">
        <v>69</v>
      </c>
      <c r="D95" s="55" t="s">
        <v>261</v>
      </c>
      <c r="E95" s="56">
        <v>701289.94</v>
      </c>
      <c r="F95" s="56">
        <v>629533.99</v>
      </c>
      <c r="G95" s="57">
        <v>1</v>
      </c>
      <c r="H95" s="61">
        <v>1</v>
      </c>
      <c r="I95" s="59">
        <v>45093</v>
      </c>
      <c r="J95" s="55" t="s">
        <v>66</v>
      </c>
      <c r="K95" s="55" t="s">
        <v>67</v>
      </c>
      <c r="L95" t="s">
        <v>262</v>
      </c>
    </row>
    <row r="96" spans="1:12">
      <c r="A96" s="54">
        <v>15685</v>
      </c>
      <c r="B96" s="55" t="s">
        <v>11</v>
      </c>
      <c r="C96" s="55" t="s">
        <v>55</v>
      </c>
      <c r="D96" s="55" t="s">
        <v>263</v>
      </c>
      <c r="E96" s="56">
        <v>300019.34</v>
      </c>
      <c r="F96" s="56">
        <v>300019.34</v>
      </c>
      <c r="G96" s="57">
        <v>1</v>
      </c>
      <c r="H96" s="61">
        <v>1</v>
      </c>
      <c r="I96" s="59">
        <v>46087</v>
      </c>
      <c r="J96" s="55" t="s">
        <v>66</v>
      </c>
      <c r="K96" s="55" t="s">
        <v>67</v>
      </c>
      <c r="L96" t="s">
        <v>264</v>
      </c>
    </row>
    <row r="97" spans="1:12">
      <c r="A97" s="54">
        <v>13222</v>
      </c>
      <c r="B97" s="55" t="s">
        <v>11</v>
      </c>
      <c r="C97" s="55" t="s">
        <v>151</v>
      </c>
      <c r="D97" s="55" t="s">
        <v>265</v>
      </c>
      <c r="E97" s="56">
        <v>15687.87</v>
      </c>
      <c r="F97" s="56">
        <v>15687.87</v>
      </c>
      <c r="G97" s="57">
        <v>1</v>
      </c>
      <c r="H97" s="61">
        <v>1</v>
      </c>
      <c r="I97" s="60">
        <v>45260</v>
      </c>
      <c r="J97" s="55" t="s">
        <v>266</v>
      </c>
      <c r="K97" s="55" t="s">
        <v>47</v>
      </c>
      <c r="L97" t="s">
        <v>267</v>
      </c>
    </row>
    <row r="98" spans="1:12">
      <c r="A98" s="54">
        <v>13478</v>
      </c>
      <c r="B98" s="55" t="s">
        <v>11</v>
      </c>
      <c r="C98" s="55" t="s">
        <v>55</v>
      </c>
      <c r="D98" s="55" t="s">
        <v>268</v>
      </c>
      <c r="E98" s="56">
        <v>495040.55</v>
      </c>
      <c r="F98" s="56">
        <v>489100.06</v>
      </c>
      <c r="G98" s="57">
        <v>1</v>
      </c>
      <c r="H98" s="61">
        <v>1</v>
      </c>
      <c r="I98" s="60">
        <v>45974</v>
      </c>
      <c r="J98" s="55" t="s">
        <v>269</v>
      </c>
      <c r="K98" s="55" t="s">
        <v>28</v>
      </c>
      <c r="L98" t="s">
        <v>14</v>
      </c>
    </row>
    <row r="99" spans="1:12">
      <c r="A99" s="54">
        <v>12623</v>
      </c>
      <c r="B99" s="55" t="s">
        <v>11</v>
      </c>
      <c r="C99" s="55" t="s">
        <v>12</v>
      </c>
      <c r="D99" s="55" t="s">
        <v>270</v>
      </c>
      <c r="E99" s="56">
        <v>177113.27</v>
      </c>
      <c r="F99" s="56">
        <v>177113.27</v>
      </c>
      <c r="G99" s="57">
        <v>1</v>
      </c>
      <c r="H99" s="61">
        <v>1</v>
      </c>
      <c r="I99" s="59">
        <v>45491</v>
      </c>
      <c r="J99" s="55" t="s">
        <v>271</v>
      </c>
      <c r="K99" s="55" t="s">
        <v>47</v>
      </c>
      <c r="L99" t="s">
        <v>272</v>
      </c>
    </row>
    <row r="100" spans="1:12">
      <c r="A100" s="54">
        <v>12472</v>
      </c>
      <c r="B100" s="55" t="s">
        <v>11</v>
      </c>
      <c r="C100" s="55" t="s">
        <v>12</v>
      </c>
      <c r="D100" s="55" t="s">
        <v>273</v>
      </c>
      <c r="E100" s="56">
        <v>170568.51</v>
      </c>
      <c r="F100" s="56">
        <v>170568.51</v>
      </c>
      <c r="G100" s="57">
        <v>1</v>
      </c>
      <c r="H100" s="61">
        <v>1</v>
      </c>
      <c r="I100" s="59">
        <v>45470</v>
      </c>
      <c r="J100" s="55" t="s">
        <v>274</v>
      </c>
      <c r="K100" s="55" t="s">
        <v>47</v>
      </c>
      <c r="L100" t="s">
        <v>275</v>
      </c>
    </row>
    <row r="101" spans="1:12">
      <c r="A101" s="54">
        <v>9804</v>
      </c>
      <c r="B101" s="55" t="s">
        <v>11</v>
      </c>
      <c r="C101" s="55" t="s">
        <v>222</v>
      </c>
      <c r="D101" s="55" t="s">
        <v>276</v>
      </c>
      <c r="E101" s="56">
        <v>1995577.7</v>
      </c>
      <c r="F101" s="56">
        <v>1985125.66</v>
      </c>
      <c r="G101" s="57">
        <v>1</v>
      </c>
      <c r="H101" s="61">
        <v>1</v>
      </c>
      <c r="I101" s="59">
        <v>45363</v>
      </c>
      <c r="J101" s="55" t="s">
        <v>277</v>
      </c>
      <c r="K101" s="55" t="s">
        <v>24</v>
      </c>
      <c r="L101" t="s">
        <v>278</v>
      </c>
    </row>
    <row r="102" spans="1:12">
      <c r="A102" s="54">
        <v>14810</v>
      </c>
      <c r="B102" s="55" t="s">
        <v>11</v>
      </c>
      <c r="C102" s="55" t="s">
        <v>12</v>
      </c>
      <c r="D102" s="55" t="s">
        <v>279</v>
      </c>
      <c r="E102" s="56">
        <v>346959.84</v>
      </c>
      <c r="F102" s="56">
        <v>346959.84</v>
      </c>
      <c r="G102" s="57">
        <v>1</v>
      </c>
      <c r="H102" s="61">
        <v>1</v>
      </c>
      <c r="I102" s="59">
        <v>45882</v>
      </c>
      <c r="J102" s="55" t="s">
        <v>277</v>
      </c>
      <c r="K102" s="55" t="s">
        <v>24</v>
      </c>
      <c r="L102" t="s">
        <v>280</v>
      </c>
    </row>
    <row r="103" spans="1:12">
      <c r="A103" s="54">
        <v>16070</v>
      </c>
      <c r="B103" s="55" t="s">
        <v>11</v>
      </c>
      <c r="C103" s="55" t="s">
        <v>55</v>
      </c>
      <c r="D103" s="55" t="s">
        <v>281</v>
      </c>
      <c r="E103" s="62">
        <v>1064478</v>
      </c>
      <c r="F103" s="62">
        <v>338840.49</v>
      </c>
      <c r="G103" s="57">
        <v>1</v>
      </c>
      <c r="H103" s="61">
        <v>1</v>
      </c>
      <c r="I103" s="59">
        <v>46091</v>
      </c>
      <c r="J103" s="55" t="s">
        <v>282</v>
      </c>
      <c r="K103" s="55" t="s">
        <v>283</v>
      </c>
      <c r="L103" t="s">
        <v>14</v>
      </c>
    </row>
    <row r="104" spans="1:12">
      <c r="A104" s="54">
        <v>12466</v>
      </c>
      <c r="B104" s="55" t="s">
        <v>11</v>
      </c>
      <c r="C104" s="55" t="s">
        <v>12</v>
      </c>
      <c r="D104" s="55" t="s">
        <v>284</v>
      </c>
      <c r="E104" s="56">
        <v>216006.77</v>
      </c>
      <c r="F104" s="56">
        <v>218922.09</v>
      </c>
      <c r="G104" s="57">
        <v>1</v>
      </c>
      <c r="H104" s="61">
        <v>1</v>
      </c>
      <c r="I104" s="59">
        <v>45475</v>
      </c>
      <c r="J104" s="55" t="s">
        <v>285</v>
      </c>
      <c r="K104" s="55" t="s">
        <v>47</v>
      </c>
      <c r="L104" t="s">
        <v>286</v>
      </c>
    </row>
    <row r="105" spans="1:12">
      <c r="A105" s="54">
        <v>14537</v>
      </c>
      <c r="B105" s="55" t="s">
        <v>11</v>
      </c>
      <c r="C105" s="55" t="s">
        <v>12</v>
      </c>
      <c r="D105" s="55" t="s">
        <v>287</v>
      </c>
      <c r="E105" s="56">
        <v>709537.03</v>
      </c>
      <c r="F105" s="56">
        <v>709537.03</v>
      </c>
      <c r="G105" s="57">
        <v>1</v>
      </c>
      <c r="H105" s="61">
        <v>1</v>
      </c>
      <c r="I105" s="59">
        <v>46101</v>
      </c>
      <c r="J105" s="55" t="s">
        <v>288</v>
      </c>
      <c r="K105" s="55" t="s">
        <v>24</v>
      </c>
      <c r="L105" t="s">
        <v>289</v>
      </c>
    </row>
    <row r="106" spans="1:12">
      <c r="A106" s="54">
        <v>14538</v>
      </c>
      <c r="B106" s="55" t="s">
        <v>11</v>
      </c>
      <c r="C106" s="55" t="s">
        <v>12</v>
      </c>
      <c r="D106" s="55" t="s">
        <v>290</v>
      </c>
      <c r="E106" s="56">
        <v>823130.94</v>
      </c>
      <c r="F106" s="56">
        <v>823130.94</v>
      </c>
      <c r="G106" s="57">
        <v>1</v>
      </c>
      <c r="H106" s="61">
        <v>1</v>
      </c>
      <c r="I106" s="59">
        <v>45932</v>
      </c>
      <c r="J106" s="55" t="s">
        <v>133</v>
      </c>
      <c r="K106" s="55" t="s">
        <v>81</v>
      </c>
      <c r="L106" t="s">
        <v>291</v>
      </c>
    </row>
    <row r="107" spans="1:12">
      <c r="A107" s="54">
        <v>14021</v>
      </c>
      <c r="B107" s="55" t="s">
        <v>11</v>
      </c>
      <c r="C107" s="55" t="s">
        <v>292</v>
      </c>
      <c r="D107" s="55" t="s">
        <v>293</v>
      </c>
      <c r="E107" s="56">
        <v>944770.4</v>
      </c>
      <c r="F107" s="56">
        <v>944770.4</v>
      </c>
      <c r="G107" s="57">
        <v>1</v>
      </c>
      <c r="H107" s="61">
        <v>1</v>
      </c>
      <c r="I107" s="59">
        <v>45826</v>
      </c>
      <c r="J107" s="55" t="s">
        <v>105</v>
      </c>
      <c r="K107" s="55" t="s">
        <v>81</v>
      </c>
      <c r="L107" t="s">
        <v>294</v>
      </c>
    </row>
    <row r="108" spans="1:12">
      <c r="A108" s="54">
        <v>11245</v>
      </c>
      <c r="B108" s="55" t="s">
        <v>11</v>
      </c>
      <c r="C108" s="55" t="s">
        <v>76</v>
      </c>
      <c r="D108" s="55" t="s">
        <v>295</v>
      </c>
      <c r="E108" s="56">
        <v>1000000</v>
      </c>
      <c r="F108" s="56">
        <v>1000319.77</v>
      </c>
      <c r="G108" s="57">
        <v>1</v>
      </c>
      <c r="H108" s="61">
        <v>1</v>
      </c>
      <c r="I108" s="60">
        <v>45209</v>
      </c>
      <c r="J108" s="55" t="s">
        <v>105</v>
      </c>
      <c r="K108" s="55" t="s">
        <v>81</v>
      </c>
      <c r="L108" t="s">
        <v>14</v>
      </c>
    </row>
    <row r="109" spans="1:12">
      <c r="A109" s="54">
        <v>13349</v>
      </c>
      <c r="B109" s="55" t="s">
        <v>11</v>
      </c>
      <c r="C109" s="55" t="s">
        <v>21</v>
      </c>
      <c r="D109" s="55" t="s">
        <v>296</v>
      </c>
      <c r="E109" s="56">
        <v>2049303.48</v>
      </c>
      <c r="F109" s="56">
        <v>2054021.6</v>
      </c>
      <c r="G109" s="57">
        <v>1</v>
      </c>
      <c r="H109" s="61">
        <v>1</v>
      </c>
      <c r="I109" s="59">
        <v>45754</v>
      </c>
      <c r="J109" s="55" t="s">
        <v>297</v>
      </c>
      <c r="K109" s="55" t="s">
        <v>28</v>
      </c>
      <c r="L109" t="s">
        <v>14</v>
      </c>
    </row>
    <row r="110" spans="1:12">
      <c r="A110" s="54">
        <v>9718</v>
      </c>
      <c r="B110" s="55" t="s">
        <v>11</v>
      </c>
      <c r="C110" s="55" t="s">
        <v>83</v>
      </c>
      <c r="D110" s="55" t="s">
        <v>298</v>
      </c>
      <c r="E110" s="56">
        <v>697400.78</v>
      </c>
      <c r="F110" s="56">
        <v>697400.78</v>
      </c>
      <c r="G110" s="57">
        <v>1</v>
      </c>
      <c r="H110" s="61">
        <v>1</v>
      </c>
      <c r="I110" s="59">
        <v>44972</v>
      </c>
      <c r="J110" s="55" t="s">
        <v>299</v>
      </c>
      <c r="K110" s="55" t="s">
        <v>24</v>
      </c>
      <c r="L110" t="s">
        <v>14</v>
      </c>
    </row>
    <row r="111" spans="1:12">
      <c r="A111" s="54">
        <v>12543</v>
      </c>
      <c r="B111" s="55" t="s">
        <v>11</v>
      </c>
      <c r="C111" s="55" t="s">
        <v>55</v>
      </c>
      <c r="D111" s="55" t="s">
        <v>300</v>
      </c>
      <c r="E111" s="56">
        <v>593562.18</v>
      </c>
      <c r="F111" s="56">
        <v>594527.52</v>
      </c>
      <c r="G111" s="57">
        <v>1</v>
      </c>
      <c r="H111" s="61">
        <v>1</v>
      </c>
      <c r="I111" s="59">
        <v>45716</v>
      </c>
      <c r="J111" s="55" t="s">
        <v>301</v>
      </c>
      <c r="K111" s="55" t="s">
        <v>302</v>
      </c>
      <c r="L111" t="s">
        <v>14</v>
      </c>
    </row>
    <row r="112" spans="1:12">
      <c r="A112" s="54">
        <v>14906</v>
      </c>
      <c r="B112" s="55" t="s">
        <v>11</v>
      </c>
      <c r="C112" s="55" t="s">
        <v>25</v>
      </c>
      <c r="D112" s="55" t="s">
        <v>303</v>
      </c>
      <c r="E112" s="56">
        <v>139250.37</v>
      </c>
      <c r="F112" s="56">
        <v>139250.37</v>
      </c>
      <c r="G112" s="57">
        <v>1</v>
      </c>
      <c r="H112" s="61">
        <v>1</v>
      </c>
      <c r="I112" s="60">
        <v>45961</v>
      </c>
      <c r="J112" s="55" t="s">
        <v>85</v>
      </c>
      <c r="K112" s="55" t="s">
        <v>47</v>
      </c>
      <c r="L112" t="s">
        <v>304</v>
      </c>
    </row>
    <row r="113" spans="1:12">
      <c r="A113" s="54">
        <v>12581</v>
      </c>
      <c r="B113" s="55" t="s">
        <v>11</v>
      </c>
      <c r="C113" s="55" t="s">
        <v>12</v>
      </c>
      <c r="D113" s="55" t="s">
        <v>305</v>
      </c>
      <c r="E113" s="56">
        <v>657735.73</v>
      </c>
      <c r="F113" s="56">
        <v>657735.73</v>
      </c>
      <c r="G113" s="57">
        <v>1</v>
      </c>
      <c r="H113" s="61">
        <v>1</v>
      </c>
      <c r="I113" s="59">
        <v>45691</v>
      </c>
      <c r="J113" s="55" t="s">
        <v>85</v>
      </c>
      <c r="K113" s="55" t="s">
        <v>47</v>
      </c>
      <c r="L113" t="s">
        <v>306</v>
      </c>
    </row>
    <row r="114" spans="1:12">
      <c r="A114" s="54">
        <v>14424</v>
      </c>
      <c r="B114" s="55" t="s">
        <v>11</v>
      </c>
      <c r="C114" s="55" t="s">
        <v>12</v>
      </c>
      <c r="D114" s="55" t="s">
        <v>307</v>
      </c>
      <c r="E114" s="56">
        <v>863490.26</v>
      </c>
      <c r="F114" s="56">
        <v>863490.26</v>
      </c>
      <c r="G114" s="57">
        <v>1</v>
      </c>
      <c r="H114" s="61">
        <v>1</v>
      </c>
      <c r="I114" s="60">
        <v>45961</v>
      </c>
      <c r="J114" s="55" t="s">
        <v>85</v>
      </c>
      <c r="K114" s="55" t="s">
        <v>47</v>
      </c>
      <c r="L114" t="s">
        <v>308</v>
      </c>
    </row>
    <row r="115" spans="1:12">
      <c r="A115" s="54">
        <v>12582</v>
      </c>
      <c r="B115" s="55" t="s">
        <v>11</v>
      </c>
      <c r="C115" s="55" t="s">
        <v>12</v>
      </c>
      <c r="D115" s="55" t="s">
        <v>309</v>
      </c>
      <c r="E115" s="56">
        <v>1585459.08</v>
      </c>
      <c r="F115" s="56">
        <v>1585459.08</v>
      </c>
      <c r="G115" s="57">
        <v>1</v>
      </c>
      <c r="H115" s="61">
        <v>1</v>
      </c>
      <c r="I115" s="60">
        <v>45613</v>
      </c>
      <c r="J115" s="55" t="s">
        <v>85</v>
      </c>
      <c r="K115" s="55" t="s">
        <v>47</v>
      </c>
      <c r="L115" t="s">
        <v>310</v>
      </c>
    </row>
    <row r="116" spans="1:12">
      <c r="A116" s="54">
        <v>12244</v>
      </c>
      <c r="B116" s="55" t="s">
        <v>11</v>
      </c>
      <c r="C116" s="55" t="s">
        <v>12</v>
      </c>
      <c r="D116" s="55" t="s">
        <v>311</v>
      </c>
      <c r="E116" s="56">
        <v>304054.88</v>
      </c>
      <c r="F116" s="56">
        <v>304054.88</v>
      </c>
      <c r="G116" s="57">
        <v>1</v>
      </c>
      <c r="H116" s="61">
        <v>1</v>
      </c>
      <c r="I116" s="59">
        <v>45443</v>
      </c>
      <c r="J116" s="55" t="s">
        <v>312</v>
      </c>
      <c r="K116" s="55" t="s">
        <v>24</v>
      </c>
      <c r="L116" t="s">
        <v>313</v>
      </c>
    </row>
    <row r="117" spans="1:12">
      <c r="A117" s="54">
        <v>13973</v>
      </c>
      <c r="B117" s="55" t="s">
        <v>11</v>
      </c>
      <c r="C117" s="55" t="s">
        <v>41</v>
      </c>
      <c r="D117" s="55" t="s">
        <v>314</v>
      </c>
      <c r="E117" s="56">
        <v>876792.8</v>
      </c>
      <c r="F117" s="56">
        <v>878897.1</v>
      </c>
      <c r="G117" s="57">
        <v>1</v>
      </c>
      <c r="H117" s="61">
        <v>1</v>
      </c>
      <c r="I117" s="60">
        <v>45989</v>
      </c>
      <c r="J117" s="55" t="s">
        <v>315</v>
      </c>
      <c r="K117" s="55" t="s">
        <v>316</v>
      </c>
      <c r="L117" t="s">
        <v>317</v>
      </c>
    </row>
    <row r="118" spans="1:12">
      <c r="A118" s="54">
        <v>13855</v>
      </c>
      <c r="B118" s="55" t="s">
        <v>11</v>
      </c>
      <c r="C118" s="55" t="s">
        <v>16</v>
      </c>
      <c r="D118" s="55" t="s">
        <v>318</v>
      </c>
      <c r="E118" s="56">
        <v>41773.65</v>
      </c>
      <c r="F118" s="56">
        <v>41773.6</v>
      </c>
      <c r="G118" s="57">
        <v>1</v>
      </c>
      <c r="H118" s="61">
        <v>1</v>
      </c>
      <c r="I118" s="59">
        <v>45477</v>
      </c>
      <c r="J118" s="55" t="s">
        <v>145</v>
      </c>
      <c r="K118" s="55" t="s">
        <v>24</v>
      </c>
      <c r="L118" t="s">
        <v>319</v>
      </c>
    </row>
    <row r="119" spans="1:12">
      <c r="A119" s="54">
        <v>11023</v>
      </c>
      <c r="B119" s="55" t="s">
        <v>11</v>
      </c>
      <c r="C119" s="55" t="s">
        <v>16</v>
      </c>
      <c r="D119" s="55" t="s">
        <v>320</v>
      </c>
      <c r="E119" s="56">
        <v>6859898.19</v>
      </c>
      <c r="F119" s="56">
        <v>6859898.19</v>
      </c>
      <c r="G119" s="57">
        <v>1</v>
      </c>
      <c r="H119" s="61">
        <v>1</v>
      </c>
      <c r="I119" s="59">
        <v>45471</v>
      </c>
      <c r="J119" s="55" t="s">
        <v>145</v>
      </c>
      <c r="K119" s="55" t="s">
        <v>24</v>
      </c>
      <c r="L119" t="s">
        <v>321</v>
      </c>
    </row>
    <row r="120" spans="1:12">
      <c r="A120" s="54">
        <v>10077</v>
      </c>
      <c r="B120" s="55" t="s">
        <v>11</v>
      </c>
      <c r="C120" s="55" t="s">
        <v>151</v>
      </c>
      <c r="D120" s="55" t="s">
        <v>322</v>
      </c>
      <c r="E120" s="56">
        <v>494868.41</v>
      </c>
      <c r="F120" s="56">
        <v>494868.4</v>
      </c>
      <c r="G120" s="57">
        <v>1</v>
      </c>
      <c r="H120" s="61">
        <v>1</v>
      </c>
      <c r="I120" s="60">
        <v>45224</v>
      </c>
      <c r="J120" s="55" t="s">
        <v>323</v>
      </c>
      <c r="K120" s="55" t="s">
        <v>24</v>
      </c>
      <c r="L120" t="s">
        <v>14</v>
      </c>
    </row>
    <row r="121" spans="1:12">
      <c r="A121" s="54">
        <v>14453</v>
      </c>
      <c r="B121" s="55" t="s">
        <v>11</v>
      </c>
      <c r="C121" s="55" t="s">
        <v>12</v>
      </c>
      <c r="D121" s="55" t="s">
        <v>324</v>
      </c>
      <c r="E121" s="56">
        <v>263906.51</v>
      </c>
      <c r="F121" s="56">
        <v>263906.51</v>
      </c>
      <c r="G121" s="57">
        <v>1</v>
      </c>
      <c r="H121" s="61">
        <v>1</v>
      </c>
      <c r="I121" s="59">
        <v>45905</v>
      </c>
      <c r="J121" s="55" t="s">
        <v>325</v>
      </c>
      <c r="K121" s="55" t="s">
        <v>81</v>
      </c>
      <c r="L121" t="s">
        <v>326</v>
      </c>
    </row>
    <row r="122" spans="1:12">
      <c r="A122" s="54">
        <v>12241</v>
      </c>
      <c r="B122" s="55" t="s">
        <v>11</v>
      </c>
      <c r="C122" s="55" t="s">
        <v>12</v>
      </c>
      <c r="D122" s="55" t="s">
        <v>327</v>
      </c>
      <c r="E122" s="56">
        <v>349458.9</v>
      </c>
      <c r="F122" s="56">
        <v>349458.9</v>
      </c>
      <c r="G122" s="57">
        <v>1</v>
      </c>
      <c r="H122" s="61">
        <v>1</v>
      </c>
      <c r="I122" s="59">
        <v>45446</v>
      </c>
      <c r="J122" s="55" t="s">
        <v>325</v>
      </c>
      <c r="K122" s="55" t="s">
        <v>81</v>
      </c>
      <c r="L122" t="s">
        <v>328</v>
      </c>
    </row>
    <row r="123" spans="1:12">
      <c r="A123" s="54">
        <v>12236</v>
      </c>
      <c r="B123" s="55" t="s">
        <v>11</v>
      </c>
      <c r="C123" s="55" t="s">
        <v>12</v>
      </c>
      <c r="D123" s="55" t="s">
        <v>329</v>
      </c>
      <c r="E123" s="56">
        <v>539035.57</v>
      </c>
      <c r="F123" s="56">
        <v>539035.57</v>
      </c>
      <c r="G123" s="57">
        <v>1</v>
      </c>
      <c r="H123" s="61">
        <v>1</v>
      </c>
      <c r="I123" s="59">
        <v>45477</v>
      </c>
      <c r="J123" s="55" t="s">
        <v>325</v>
      </c>
      <c r="K123" s="55" t="s">
        <v>81</v>
      </c>
      <c r="L123" t="s">
        <v>330</v>
      </c>
    </row>
    <row r="124" spans="1:12">
      <c r="A124" s="54">
        <v>14182</v>
      </c>
      <c r="B124" s="55" t="s">
        <v>11</v>
      </c>
      <c r="C124" s="55" t="s">
        <v>83</v>
      </c>
      <c r="D124" s="55" t="s">
        <v>331</v>
      </c>
      <c r="E124" s="56">
        <v>1124416.62</v>
      </c>
      <c r="F124" s="56">
        <v>1088416.62</v>
      </c>
      <c r="G124" s="57">
        <v>1</v>
      </c>
      <c r="H124" s="61">
        <v>1</v>
      </c>
      <c r="I124" s="60">
        <v>45951</v>
      </c>
      <c r="J124" s="55" t="s">
        <v>332</v>
      </c>
      <c r="K124" s="55" t="s">
        <v>113</v>
      </c>
      <c r="L124" t="s">
        <v>333</v>
      </c>
    </row>
    <row r="125" spans="1:12">
      <c r="A125" s="54">
        <v>13334</v>
      </c>
      <c r="B125" s="55" t="s">
        <v>11</v>
      </c>
      <c r="C125" s="55" t="s">
        <v>334</v>
      </c>
      <c r="D125" s="55" t="s">
        <v>335</v>
      </c>
      <c r="E125" s="56">
        <v>161616.85</v>
      </c>
      <c r="F125" s="56">
        <v>161608.19</v>
      </c>
      <c r="G125" s="57">
        <v>1</v>
      </c>
      <c r="H125" s="61">
        <v>1</v>
      </c>
      <c r="I125" s="59">
        <v>45628</v>
      </c>
      <c r="J125" s="55" t="s">
        <v>336</v>
      </c>
      <c r="K125" s="55" t="s">
        <v>36</v>
      </c>
      <c r="L125" t="s">
        <v>337</v>
      </c>
    </row>
    <row r="126" spans="1:12">
      <c r="A126" s="54">
        <v>10230</v>
      </c>
      <c r="B126" s="55" t="s">
        <v>11</v>
      </c>
      <c r="C126" s="55" t="s">
        <v>52</v>
      </c>
      <c r="D126" s="55" t="s">
        <v>338</v>
      </c>
      <c r="E126" s="56">
        <v>98598.86</v>
      </c>
      <c r="F126" s="56">
        <v>98598.86</v>
      </c>
      <c r="G126" s="57">
        <v>1</v>
      </c>
      <c r="H126" s="61">
        <v>1</v>
      </c>
      <c r="I126" s="59">
        <v>45072</v>
      </c>
      <c r="J126" s="55" t="s">
        <v>54</v>
      </c>
      <c r="K126" s="55" t="s">
        <v>47</v>
      </c>
      <c r="L126" t="s">
        <v>14</v>
      </c>
    </row>
    <row r="127" spans="1:12">
      <c r="A127" s="54">
        <v>11424</v>
      </c>
      <c r="B127" s="55" t="s">
        <v>11</v>
      </c>
      <c r="C127" s="55" t="s">
        <v>52</v>
      </c>
      <c r="D127" s="55" t="s">
        <v>339</v>
      </c>
      <c r="E127" s="56">
        <v>558710.72</v>
      </c>
      <c r="F127" s="56">
        <v>558710.72</v>
      </c>
      <c r="G127" s="57">
        <v>1</v>
      </c>
      <c r="H127" s="61">
        <v>1</v>
      </c>
      <c r="I127" s="59">
        <v>45513</v>
      </c>
      <c r="J127" s="55" t="s">
        <v>54</v>
      </c>
      <c r="K127" s="55" t="s">
        <v>47</v>
      </c>
      <c r="L127" t="s">
        <v>14</v>
      </c>
    </row>
    <row r="128" spans="1:12">
      <c r="A128" s="54">
        <v>14516</v>
      </c>
      <c r="B128" s="55" t="s">
        <v>11</v>
      </c>
      <c r="C128" s="55" t="s">
        <v>12</v>
      </c>
      <c r="D128" s="55" t="s">
        <v>340</v>
      </c>
      <c r="E128" s="56">
        <v>130743.19</v>
      </c>
      <c r="F128" s="56">
        <v>130743.19</v>
      </c>
      <c r="G128" s="57">
        <v>1</v>
      </c>
      <c r="H128" s="61">
        <v>1</v>
      </c>
      <c r="I128" s="59">
        <v>46067</v>
      </c>
      <c r="J128" s="55" t="s">
        <v>341</v>
      </c>
      <c r="K128" s="55" t="s">
        <v>24</v>
      </c>
      <c r="L128" t="s">
        <v>342</v>
      </c>
    </row>
    <row r="129" spans="1:12">
      <c r="A129" s="54">
        <v>12469</v>
      </c>
      <c r="B129" s="55" t="s">
        <v>11</v>
      </c>
      <c r="C129" s="55" t="s">
        <v>12</v>
      </c>
      <c r="D129" s="55" t="s">
        <v>343</v>
      </c>
      <c r="E129" s="56">
        <v>206554.64</v>
      </c>
      <c r="F129" s="56">
        <v>206554.64</v>
      </c>
      <c r="G129" s="57">
        <v>1</v>
      </c>
      <c r="H129" s="61">
        <v>1</v>
      </c>
      <c r="I129" s="59">
        <v>45555</v>
      </c>
      <c r="J129" s="55" t="s">
        <v>344</v>
      </c>
      <c r="K129" s="55" t="s">
        <v>81</v>
      </c>
      <c r="L129" t="s">
        <v>345</v>
      </c>
    </row>
    <row r="130" spans="1:12">
      <c r="A130" s="54">
        <v>9986</v>
      </c>
      <c r="B130" s="55" t="s">
        <v>11</v>
      </c>
      <c r="C130" s="55" t="s">
        <v>151</v>
      </c>
      <c r="D130" s="55" t="s">
        <v>346</v>
      </c>
      <c r="E130" s="56">
        <v>770039.99</v>
      </c>
      <c r="F130" s="56">
        <v>770039.99</v>
      </c>
      <c r="G130" s="57">
        <v>1</v>
      </c>
      <c r="H130" s="61">
        <v>1</v>
      </c>
      <c r="I130" s="60">
        <v>45646</v>
      </c>
      <c r="J130" s="55" t="s">
        <v>344</v>
      </c>
      <c r="K130" s="55" t="s">
        <v>81</v>
      </c>
      <c r="L130" t="s">
        <v>347</v>
      </c>
    </row>
    <row r="131" spans="1:12">
      <c r="A131" s="54">
        <v>10018</v>
      </c>
      <c r="B131" s="55" t="s">
        <v>11</v>
      </c>
      <c r="C131" s="55" t="s">
        <v>91</v>
      </c>
      <c r="D131" s="55" t="s">
        <v>348</v>
      </c>
      <c r="E131" s="56">
        <v>300595.6</v>
      </c>
      <c r="F131" s="56">
        <v>300595.6</v>
      </c>
      <c r="G131" s="57">
        <v>1</v>
      </c>
      <c r="H131" s="61">
        <v>1</v>
      </c>
      <c r="I131" s="60">
        <v>45279</v>
      </c>
      <c r="J131" s="55" t="s">
        <v>349</v>
      </c>
      <c r="K131" s="55" t="s">
        <v>28</v>
      </c>
      <c r="L131" t="s">
        <v>14</v>
      </c>
    </row>
    <row r="132" spans="1:12">
      <c r="A132" s="54">
        <v>10915</v>
      </c>
      <c r="B132" s="55" t="s">
        <v>11</v>
      </c>
      <c r="C132" s="55" t="s">
        <v>83</v>
      </c>
      <c r="D132" s="55" t="s">
        <v>350</v>
      </c>
      <c r="E132" s="56">
        <v>920310.49</v>
      </c>
      <c r="F132" s="56">
        <v>920310.49</v>
      </c>
      <c r="G132" s="57">
        <v>1</v>
      </c>
      <c r="H132" s="61">
        <v>1</v>
      </c>
      <c r="I132" s="59">
        <v>45463</v>
      </c>
      <c r="J132" s="55" t="s">
        <v>351</v>
      </c>
      <c r="K132" s="55" t="s">
        <v>28</v>
      </c>
      <c r="L132" t="s">
        <v>14</v>
      </c>
    </row>
    <row r="133" spans="1:12">
      <c r="A133" s="54">
        <v>13205</v>
      </c>
      <c r="B133" s="55" t="s">
        <v>11</v>
      </c>
      <c r="C133" s="55" t="s">
        <v>186</v>
      </c>
      <c r="D133" s="55" t="s">
        <v>352</v>
      </c>
      <c r="E133" s="56">
        <v>1020925</v>
      </c>
      <c r="F133" s="56">
        <v>1020925.79</v>
      </c>
      <c r="G133" s="57">
        <v>1</v>
      </c>
      <c r="H133" s="61">
        <v>1</v>
      </c>
      <c r="I133" s="59">
        <v>45841</v>
      </c>
      <c r="J133" s="55" t="s">
        <v>353</v>
      </c>
      <c r="K133" s="55" t="s">
        <v>354</v>
      </c>
      <c r="L133" t="s">
        <v>14</v>
      </c>
    </row>
    <row r="134" spans="1:12">
      <c r="A134" s="54">
        <v>14618</v>
      </c>
      <c r="B134" s="55" t="s">
        <v>11</v>
      </c>
      <c r="C134" s="55" t="s">
        <v>12</v>
      </c>
      <c r="D134" s="55" t="s">
        <v>355</v>
      </c>
      <c r="E134" s="56">
        <v>587924.55</v>
      </c>
      <c r="F134" s="56">
        <v>587924.55</v>
      </c>
      <c r="G134" s="57">
        <v>1</v>
      </c>
      <c r="H134" s="61">
        <v>1</v>
      </c>
      <c r="I134" s="59">
        <v>45916</v>
      </c>
      <c r="J134" s="55" t="s">
        <v>356</v>
      </c>
      <c r="K134" s="55" t="s">
        <v>67</v>
      </c>
      <c r="L134" t="s">
        <v>357</v>
      </c>
    </row>
    <row r="135" spans="1:12">
      <c r="A135" s="54">
        <v>12586</v>
      </c>
      <c r="B135" s="55" t="s">
        <v>11</v>
      </c>
      <c r="C135" s="55" t="s">
        <v>12</v>
      </c>
      <c r="D135" s="55" t="s">
        <v>358</v>
      </c>
      <c r="E135" s="56">
        <v>464799.99</v>
      </c>
      <c r="F135" s="56">
        <v>464799.99</v>
      </c>
      <c r="G135" s="57">
        <v>1</v>
      </c>
      <c r="H135" s="61">
        <v>1</v>
      </c>
      <c r="I135" s="59">
        <v>45834</v>
      </c>
      <c r="J135" s="55" t="s">
        <v>356</v>
      </c>
      <c r="K135" s="55" t="s">
        <v>67</v>
      </c>
      <c r="L135" t="s">
        <v>359</v>
      </c>
    </row>
    <row r="136" spans="1:12">
      <c r="A136" s="54">
        <v>11434</v>
      </c>
      <c r="B136" s="55" t="s">
        <v>11</v>
      </c>
      <c r="C136" s="55" t="s">
        <v>203</v>
      </c>
      <c r="D136" s="55" t="s">
        <v>360</v>
      </c>
      <c r="E136" s="56">
        <v>840666.33</v>
      </c>
      <c r="F136" s="56">
        <v>828313.74</v>
      </c>
      <c r="G136" s="57">
        <v>1</v>
      </c>
      <c r="H136" s="61">
        <v>1</v>
      </c>
      <c r="I136" s="59">
        <v>45530</v>
      </c>
      <c r="J136" s="55" t="s">
        <v>361</v>
      </c>
      <c r="K136" s="55" t="s">
        <v>47</v>
      </c>
      <c r="L136" t="s">
        <v>362</v>
      </c>
    </row>
    <row r="137" spans="1:12">
      <c r="A137" s="54">
        <v>10542</v>
      </c>
      <c r="B137" s="55" t="s">
        <v>11</v>
      </c>
      <c r="C137" s="55" t="s">
        <v>18</v>
      </c>
      <c r="D137" s="55" t="s">
        <v>363</v>
      </c>
      <c r="E137" s="56">
        <v>1341128.72</v>
      </c>
      <c r="F137" s="56">
        <v>821025.78</v>
      </c>
      <c r="G137" s="57">
        <v>1</v>
      </c>
      <c r="H137" s="61">
        <v>1</v>
      </c>
      <c r="I137" s="59">
        <v>45020</v>
      </c>
      <c r="J137" s="55" t="s">
        <v>50</v>
      </c>
      <c r="K137" s="55" t="s">
        <v>47</v>
      </c>
      <c r="L137" t="s">
        <v>364</v>
      </c>
    </row>
    <row r="138" spans="1:12">
      <c r="A138" s="54">
        <v>9411</v>
      </c>
      <c r="B138" s="55" t="s">
        <v>11</v>
      </c>
      <c r="C138" s="55" t="s">
        <v>151</v>
      </c>
      <c r="D138" s="55" t="s">
        <v>365</v>
      </c>
      <c r="E138" s="56">
        <v>310517.93</v>
      </c>
      <c r="F138" s="56">
        <v>309779.97</v>
      </c>
      <c r="G138" s="57">
        <v>1</v>
      </c>
      <c r="H138" s="61">
        <v>1</v>
      </c>
      <c r="I138" s="59">
        <v>45560</v>
      </c>
      <c r="J138" s="55" t="s">
        <v>50</v>
      </c>
      <c r="K138" s="55" t="s">
        <v>47</v>
      </c>
      <c r="L138" t="s">
        <v>366</v>
      </c>
    </row>
    <row r="139" spans="1:12">
      <c r="A139" s="54">
        <v>12624</v>
      </c>
      <c r="B139" s="55" t="s">
        <v>11</v>
      </c>
      <c r="C139" s="55" t="s">
        <v>12</v>
      </c>
      <c r="D139" s="55" t="s">
        <v>367</v>
      </c>
      <c r="E139" s="56">
        <v>287109.38</v>
      </c>
      <c r="F139" s="56">
        <v>287109.38</v>
      </c>
      <c r="G139" s="57">
        <v>1</v>
      </c>
      <c r="H139" s="61">
        <v>1</v>
      </c>
      <c r="I139" s="59">
        <v>45570</v>
      </c>
      <c r="J139" s="55" t="s">
        <v>50</v>
      </c>
      <c r="K139" s="55" t="s">
        <v>47</v>
      </c>
      <c r="L139" t="s">
        <v>368</v>
      </c>
    </row>
    <row r="140" spans="1:12">
      <c r="A140" s="54">
        <v>10703</v>
      </c>
      <c r="B140" s="55" t="s">
        <v>11</v>
      </c>
      <c r="C140" s="55" t="s">
        <v>151</v>
      </c>
      <c r="D140" s="55" t="s">
        <v>369</v>
      </c>
      <c r="E140" s="56">
        <v>573628.7</v>
      </c>
      <c r="F140" s="56">
        <v>573628.7</v>
      </c>
      <c r="G140" s="57">
        <v>1</v>
      </c>
      <c r="H140" s="61">
        <v>1</v>
      </c>
      <c r="I140" s="59">
        <v>45855</v>
      </c>
      <c r="J140" s="55" t="s">
        <v>50</v>
      </c>
      <c r="K140" s="55" t="s">
        <v>47</v>
      </c>
      <c r="L140" t="s">
        <v>370</v>
      </c>
    </row>
    <row r="141" spans="1:12">
      <c r="A141" s="54">
        <v>13903</v>
      </c>
      <c r="B141" s="55" t="s">
        <v>11</v>
      </c>
      <c r="C141" s="55" t="s">
        <v>222</v>
      </c>
      <c r="D141" s="55" t="s">
        <v>371</v>
      </c>
      <c r="E141" s="56">
        <v>410000</v>
      </c>
      <c r="F141" s="56">
        <v>362318.86</v>
      </c>
      <c r="G141" s="57">
        <v>1</v>
      </c>
      <c r="H141" s="61">
        <v>1</v>
      </c>
      <c r="I141" s="59">
        <v>46073</v>
      </c>
      <c r="J141" s="55" t="s">
        <v>128</v>
      </c>
      <c r="K141" s="55" t="s">
        <v>47</v>
      </c>
      <c r="L141" t="s">
        <v>14</v>
      </c>
    </row>
    <row r="142" spans="1:12">
      <c r="A142" s="54">
        <v>13919</v>
      </c>
      <c r="B142" s="55" t="s">
        <v>11</v>
      </c>
      <c r="C142" s="55" t="s">
        <v>222</v>
      </c>
      <c r="D142" s="55" t="s">
        <v>372</v>
      </c>
      <c r="E142" s="56">
        <v>266181</v>
      </c>
      <c r="F142" s="56">
        <v>276445.47</v>
      </c>
      <c r="G142" s="57">
        <v>1</v>
      </c>
      <c r="H142" s="61">
        <v>1</v>
      </c>
      <c r="I142" s="59">
        <v>45897</v>
      </c>
      <c r="J142" s="55" t="s">
        <v>128</v>
      </c>
      <c r="K142" s="55" t="s">
        <v>47</v>
      </c>
      <c r="L142" t="s">
        <v>14</v>
      </c>
    </row>
    <row r="143" spans="1:12">
      <c r="A143" s="54">
        <v>13062</v>
      </c>
      <c r="B143" s="55" t="s">
        <v>11</v>
      </c>
      <c r="C143" s="55" t="s">
        <v>173</v>
      </c>
      <c r="D143" s="55" t="s">
        <v>373</v>
      </c>
      <c r="E143" s="56">
        <v>449886.28</v>
      </c>
      <c r="F143" s="56">
        <v>449886.28</v>
      </c>
      <c r="G143" s="57">
        <v>1</v>
      </c>
      <c r="H143" s="61">
        <v>1</v>
      </c>
      <c r="I143" s="59">
        <v>45776</v>
      </c>
      <c r="J143" s="55" t="s">
        <v>374</v>
      </c>
      <c r="K143" s="55" t="s">
        <v>28</v>
      </c>
      <c r="L143" t="s">
        <v>14</v>
      </c>
    </row>
    <row r="144" spans="1:12">
      <c r="A144" s="54">
        <v>10697</v>
      </c>
      <c r="B144" s="55" t="s">
        <v>11</v>
      </c>
      <c r="C144" s="55" t="s">
        <v>151</v>
      </c>
      <c r="D144" s="55" t="s">
        <v>375</v>
      </c>
      <c r="E144" s="56">
        <v>799620.38</v>
      </c>
      <c r="F144" s="56">
        <v>799620.38</v>
      </c>
      <c r="G144" s="57">
        <v>1</v>
      </c>
      <c r="H144" s="61">
        <v>1</v>
      </c>
      <c r="I144" s="59">
        <v>45357</v>
      </c>
      <c r="J144" s="55" t="s">
        <v>376</v>
      </c>
      <c r="K144" s="55" t="s">
        <v>137</v>
      </c>
      <c r="L144" t="s">
        <v>14</v>
      </c>
    </row>
    <row r="145" spans="1:12">
      <c r="A145" s="54">
        <v>13553</v>
      </c>
      <c r="B145" s="55" t="s">
        <v>11</v>
      </c>
      <c r="C145" s="55" t="s">
        <v>25</v>
      </c>
      <c r="D145" s="55" t="s">
        <v>377</v>
      </c>
      <c r="E145" s="56">
        <v>341548.98</v>
      </c>
      <c r="F145" s="56">
        <v>341548.98</v>
      </c>
      <c r="G145" s="57">
        <v>1</v>
      </c>
      <c r="H145" s="61">
        <v>1</v>
      </c>
      <c r="I145" s="59">
        <v>45733</v>
      </c>
      <c r="J145" s="55" t="s">
        <v>93</v>
      </c>
      <c r="K145" s="55" t="s">
        <v>67</v>
      </c>
      <c r="L145" t="s">
        <v>14</v>
      </c>
    </row>
    <row r="146" spans="1:12">
      <c r="A146" s="54">
        <v>15287</v>
      </c>
      <c r="B146" s="55" t="s">
        <v>11</v>
      </c>
      <c r="C146" s="55" t="s">
        <v>203</v>
      </c>
      <c r="D146" s="55" t="s">
        <v>378</v>
      </c>
      <c r="E146" s="56">
        <v>539000</v>
      </c>
      <c r="F146" s="56">
        <v>535399.88</v>
      </c>
      <c r="G146" s="57">
        <v>1</v>
      </c>
      <c r="H146" s="61">
        <v>1</v>
      </c>
      <c r="I146" s="60">
        <v>45988</v>
      </c>
      <c r="J146" s="55" t="s">
        <v>379</v>
      </c>
      <c r="K146" s="55" t="s">
        <v>380</v>
      </c>
      <c r="L146" t="s">
        <v>381</v>
      </c>
    </row>
    <row r="147" spans="1:12">
      <c r="A147" s="54">
        <v>13834</v>
      </c>
      <c r="B147" s="55" t="s">
        <v>11</v>
      </c>
      <c r="C147" s="55" t="s">
        <v>25</v>
      </c>
      <c r="D147" s="55" t="s">
        <v>382</v>
      </c>
      <c r="E147" s="56">
        <v>465934.87</v>
      </c>
      <c r="F147" s="56">
        <v>465934.87</v>
      </c>
      <c r="G147" s="57">
        <v>1</v>
      </c>
      <c r="H147" s="61">
        <v>1</v>
      </c>
      <c r="I147" s="59">
        <v>45811</v>
      </c>
      <c r="J147" s="55" t="s">
        <v>383</v>
      </c>
      <c r="K147" s="55" t="s">
        <v>28</v>
      </c>
      <c r="L147" t="s">
        <v>14</v>
      </c>
    </row>
    <row r="148" spans="1:12">
      <c r="A148" s="54">
        <v>10299</v>
      </c>
      <c r="B148" s="55" t="s">
        <v>11</v>
      </c>
      <c r="C148" s="55" t="s">
        <v>138</v>
      </c>
      <c r="D148" s="55" t="s">
        <v>384</v>
      </c>
      <c r="E148" s="56">
        <v>255889.15</v>
      </c>
      <c r="F148" s="56">
        <v>147371.6</v>
      </c>
      <c r="G148" s="57">
        <v>1</v>
      </c>
      <c r="H148" s="61">
        <v>1</v>
      </c>
      <c r="I148" s="59">
        <v>45631</v>
      </c>
      <c r="J148" s="55" t="s">
        <v>78</v>
      </c>
      <c r="K148" s="55" t="s">
        <v>24</v>
      </c>
      <c r="L148" t="s">
        <v>14</v>
      </c>
    </row>
    <row r="149" spans="1:12">
      <c r="A149" s="54">
        <v>10638</v>
      </c>
      <c r="B149" s="55" t="s">
        <v>11</v>
      </c>
      <c r="C149" s="55" t="s">
        <v>18</v>
      </c>
      <c r="D149" s="55" t="s">
        <v>385</v>
      </c>
      <c r="E149" s="56">
        <v>494580.82</v>
      </c>
      <c r="F149" s="56">
        <v>309486.62</v>
      </c>
      <c r="G149" s="57">
        <v>1</v>
      </c>
      <c r="H149" s="61">
        <v>1</v>
      </c>
      <c r="I149" s="59">
        <v>45062</v>
      </c>
      <c r="J149" s="55" t="s">
        <v>78</v>
      </c>
      <c r="K149" s="55" t="s">
        <v>24</v>
      </c>
      <c r="L149" t="s">
        <v>14</v>
      </c>
    </row>
    <row r="150" spans="1:12">
      <c r="A150" s="54">
        <v>11045</v>
      </c>
      <c r="B150" s="55" t="s">
        <v>11</v>
      </c>
      <c r="C150" s="55" t="s">
        <v>18</v>
      </c>
      <c r="D150" s="55" t="s">
        <v>386</v>
      </c>
      <c r="E150" s="56">
        <v>238250.81</v>
      </c>
      <c r="F150" s="56">
        <v>238246.51</v>
      </c>
      <c r="G150" s="57">
        <v>1</v>
      </c>
      <c r="H150" s="61">
        <v>1</v>
      </c>
      <c r="I150" s="59">
        <v>45294</v>
      </c>
      <c r="J150" s="55" t="s">
        <v>78</v>
      </c>
      <c r="K150" s="55" t="s">
        <v>24</v>
      </c>
      <c r="L150" t="s">
        <v>14</v>
      </c>
    </row>
    <row r="151" spans="1:12">
      <c r="A151" s="54">
        <v>11981</v>
      </c>
      <c r="B151" s="55" t="s">
        <v>11</v>
      </c>
      <c r="C151" s="55" t="s">
        <v>18</v>
      </c>
      <c r="D151" s="55" t="s">
        <v>387</v>
      </c>
      <c r="E151" s="56">
        <v>244328.24</v>
      </c>
      <c r="F151" s="56">
        <v>244328.24</v>
      </c>
      <c r="G151" s="57">
        <v>1</v>
      </c>
      <c r="H151" s="61">
        <v>1</v>
      </c>
      <c r="I151" s="59">
        <v>45531</v>
      </c>
      <c r="J151" s="55" t="s">
        <v>78</v>
      </c>
      <c r="K151" s="55" t="s">
        <v>24</v>
      </c>
      <c r="L151" t="s">
        <v>14</v>
      </c>
    </row>
    <row r="152" spans="1:12">
      <c r="A152" s="54">
        <v>13928</v>
      </c>
      <c r="B152" s="55" t="s">
        <v>11</v>
      </c>
      <c r="C152" s="55" t="s">
        <v>222</v>
      </c>
      <c r="D152" s="55" t="s">
        <v>388</v>
      </c>
      <c r="E152" s="56">
        <v>275306.3</v>
      </c>
      <c r="F152" s="56">
        <v>274210.61</v>
      </c>
      <c r="G152" s="57">
        <v>1</v>
      </c>
      <c r="H152" s="61">
        <v>1</v>
      </c>
      <c r="I152" s="59">
        <v>46092</v>
      </c>
      <c r="J152" s="55" t="s">
        <v>78</v>
      </c>
      <c r="K152" s="55" t="s">
        <v>24</v>
      </c>
      <c r="L152" t="s">
        <v>14</v>
      </c>
    </row>
    <row r="153" spans="1:12">
      <c r="A153" s="54">
        <v>11447</v>
      </c>
      <c r="B153" s="55" t="s">
        <v>11</v>
      </c>
      <c r="C153" s="55" t="s">
        <v>138</v>
      </c>
      <c r="D153" s="55" t="s">
        <v>389</v>
      </c>
      <c r="E153" s="56">
        <v>332583.93</v>
      </c>
      <c r="F153" s="56">
        <v>332583.93</v>
      </c>
      <c r="G153" s="57">
        <v>1</v>
      </c>
      <c r="H153" s="61">
        <v>1</v>
      </c>
      <c r="I153" s="60">
        <v>45617</v>
      </c>
      <c r="J153" s="55" t="s">
        <v>390</v>
      </c>
      <c r="K153" s="55" t="s">
        <v>67</v>
      </c>
      <c r="L153" t="s">
        <v>391</v>
      </c>
    </row>
    <row r="154" spans="1:12">
      <c r="A154" s="54">
        <v>14198</v>
      </c>
      <c r="B154" s="55" t="s">
        <v>11</v>
      </c>
      <c r="C154" s="55" t="s">
        <v>151</v>
      </c>
      <c r="D154" s="55" t="s">
        <v>392</v>
      </c>
      <c r="E154" s="56">
        <v>105918.93</v>
      </c>
      <c r="F154" s="56">
        <v>104647.91</v>
      </c>
      <c r="G154" s="57">
        <v>1</v>
      </c>
      <c r="H154" s="61">
        <v>1</v>
      </c>
      <c r="I154" s="60">
        <v>45644</v>
      </c>
      <c r="J154" s="55" t="s">
        <v>393</v>
      </c>
      <c r="K154" s="55" t="s">
        <v>67</v>
      </c>
      <c r="L154" t="s">
        <v>394</v>
      </c>
    </row>
    <row r="155" spans="1:12">
      <c r="A155" s="54">
        <v>12621</v>
      </c>
      <c r="B155" s="55" t="s">
        <v>11</v>
      </c>
      <c r="C155" s="55" t="s">
        <v>12</v>
      </c>
      <c r="D155" s="55" t="s">
        <v>395</v>
      </c>
      <c r="E155" s="56">
        <v>1868073.02</v>
      </c>
      <c r="F155" s="56">
        <v>1868073.02</v>
      </c>
      <c r="G155" s="57">
        <v>1</v>
      </c>
      <c r="H155" s="61">
        <v>1</v>
      </c>
      <c r="I155" s="59">
        <v>45777</v>
      </c>
      <c r="J155" s="55" t="s">
        <v>393</v>
      </c>
      <c r="K155" s="55" t="s">
        <v>67</v>
      </c>
      <c r="L155" t="s">
        <v>396</v>
      </c>
    </row>
    <row r="156" spans="1:12">
      <c r="A156" s="54">
        <v>12583</v>
      </c>
      <c r="B156" s="55" t="s">
        <v>11</v>
      </c>
      <c r="C156" s="55" t="s">
        <v>12</v>
      </c>
      <c r="D156" s="55" t="s">
        <v>397</v>
      </c>
      <c r="E156" s="56">
        <v>158943.61</v>
      </c>
      <c r="F156" s="56">
        <v>158943.61</v>
      </c>
      <c r="G156" s="57">
        <v>1</v>
      </c>
      <c r="H156" s="61">
        <v>1</v>
      </c>
      <c r="I156" s="59">
        <v>45757</v>
      </c>
      <c r="J156" s="55" t="s">
        <v>398</v>
      </c>
      <c r="K156" s="55" t="s">
        <v>67</v>
      </c>
      <c r="L156" t="s">
        <v>399</v>
      </c>
    </row>
    <row r="157" spans="1:12">
      <c r="A157" s="54">
        <v>12076</v>
      </c>
      <c r="B157" s="55" t="s">
        <v>11</v>
      </c>
      <c r="C157" s="55" t="s">
        <v>203</v>
      </c>
      <c r="D157" s="55" t="s">
        <v>400</v>
      </c>
      <c r="E157" s="56">
        <v>1775313.1</v>
      </c>
      <c r="F157" s="56">
        <v>1775313.1</v>
      </c>
      <c r="G157" s="57">
        <v>1</v>
      </c>
      <c r="H157" s="61">
        <v>1</v>
      </c>
      <c r="I157" s="59">
        <v>45568</v>
      </c>
      <c r="J157" s="55" t="s">
        <v>401</v>
      </c>
      <c r="K157" s="55" t="s">
        <v>109</v>
      </c>
      <c r="L157" t="s">
        <v>402</v>
      </c>
    </row>
    <row r="158" spans="1:12">
      <c r="A158" s="54">
        <v>12492</v>
      </c>
      <c r="B158" s="55" t="s">
        <v>11</v>
      </c>
      <c r="C158" s="55" t="s">
        <v>25</v>
      </c>
      <c r="D158" s="55" t="s">
        <v>403</v>
      </c>
      <c r="E158" s="56">
        <v>425673.94</v>
      </c>
      <c r="F158" s="56">
        <v>425673.94</v>
      </c>
      <c r="G158" s="57">
        <v>1</v>
      </c>
      <c r="H158" s="61">
        <v>1</v>
      </c>
      <c r="I158" s="59">
        <v>45713</v>
      </c>
      <c r="J158" s="55" t="s">
        <v>158</v>
      </c>
      <c r="K158" s="55" t="s">
        <v>81</v>
      </c>
      <c r="L158" t="s">
        <v>404</v>
      </c>
    </row>
    <row r="159" spans="1:12">
      <c r="A159" s="54">
        <v>13254</v>
      </c>
      <c r="B159" s="55" t="s">
        <v>11</v>
      </c>
      <c r="C159" s="55" t="s">
        <v>173</v>
      </c>
      <c r="D159" s="55" t="s">
        <v>405</v>
      </c>
      <c r="E159" s="56">
        <v>479999.97</v>
      </c>
      <c r="F159" s="56">
        <v>479999.97</v>
      </c>
      <c r="G159" s="57">
        <v>1</v>
      </c>
      <c r="H159" s="61">
        <v>1</v>
      </c>
      <c r="I159" s="60">
        <v>45622</v>
      </c>
      <c r="J159" s="55" t="s">
        <v>158</v>
      </c>
      <c r="K159" s="55" t="s">
        <v>81</v>
      </c>
      <c r="L159" t="s">
        <v>14</v>
      </c>
    </row>
    <row r="160" spans="1:12">
      <c r="A160" s="54">
        <v>12761</v>
      </c>
      <c r="B160" s="55" t="s">
        <v>11</v>
      </c>
      <c r="C160" s="55" t="s">
        <v>41</v>
      </c>
      <c r="D160" s="55" t="s">
        <v>406</v>
      </c>
      <c r="E160" s="56">
        <v>2940335.71</v>
      </c>
      <c r="F160" s="56">
        <v>2943762.13</v>
      </c>
      <c r="G160" s="57">
        <v>1</v>
      </c>
      <c r="H160" s="61">
        <v>1</v>
      </c>
      <c r="I160" s="59">
        <v>45936</v>
      </c>
      <c r="J160" s="55" t="s">
        <v>407</v>
      </c>
      <c r="K160" s="55" t="s">
        <v>408</v>
      </c>
      <c r="L160" t="s">
        <v>409</v>
      </c>
    </row>
    <row r="161" spans="1:12">
      <c r="A161" s="54">
        <v>14620</v>
      </c>
      <c r="B161" s="55" t="s">
        <v>11</v>
      </c>
      <c r="C161" s="55" t="s">
        <v>12</v>
      </c>
      <c r="D161" s="55" t="s">
        <v>410</v>
      </c>
      <c r="E161" s="56">
        <v>305194.39</v>
      </c>
      <c r="F161" s="56">
        <v>305194.39</v>
      </c>
      <c r="G161" s="57">
        <v>1</v>
      </c>
      <c r="H161" s="61">
        <v>1</v>
      </c>
      <c r="I161" s="59">
        <v>45938</v>
      </c>
      <c r="J161" s="55" t="s">
        <v>179</v>
      </c>
      <c r="K161" s="55" t="s">
        <v>81</v>
      </c>
      <c r="L161" t="s">
        <v>411</v>
      </c>
    </row>
    <row r="162" spans="1:12">
      <c r="A162" s="54">
        <v>12468</v>
      </c>
      <c r="B162" s="55" t="s">
        <v>11</v>
      </c>
      <c r="C162" s="55" t="s">
        <v>12</v>
      </c>
      <c r="D162" s="55" t="s">
        <v>412</v>
      </c>
      <c r="E162" s="56">
        <v>129842.04</v>
      </c>
      <c r="F162" s="56">
        <v>129842.04</v>
      </c>
      <c r="G162" s="57">
        <v>1</v>
      </c>
      <c r="H162" s="61">
        <v>1</v>
      </c>
      <c r="I162" s="59">
        <v>45463</v>
      </c>
      <c r="J162" s="55" t="s">
        <v>179</v>
      </c>
      <c r="K162" s="55" t="s">
        <v>81</v>
      </c>
      <c r="L162" t="s">
        <v>413</v>
      </c>
    </row>
    <row r="163" spans="1:12">
      <c r="A163" s="54">
        <v>14770</v>
      </c>
      <c r="B163" s="55" t="s">
        <v>11</v>
      </c>
      <c r="C163" s="55" t="s">
        <v>222</v>
      </c>
      <c r="D163" s="55" t="s">
        <v>414</v>
      </c>
      <c r="E163" s="56">
        <v>544086.56</v>
      </c>
      <c r="F163" s="56">
        <v>537557.52</v>
      </c>
      <c r="G163" s="57">
        <v>1</v>
      </c>
      <c r="H163" s="61">
        <v>1</v>
      </c>
      <c r="I163" s="59">
        <v>46140</v>
      </c>
      <c r="J163" s="55" t="s">
        <v>179</v>
      </c>
      <c r="K163" s="55" t="s">
        <v>81</v>
      </c>
      <c r="L163" t="s">
        <v>14</v>
      </c>
    </row>
    <row r="164" spans="1:12">
      <c r="A164" s="54">
        <v>13402</v>
      </c>
      <c r="B164" s="55" t="s">
        <v>11</v>
      </c>
      <c r="C164" s="55" t="s">
        <v>25</v>
      </c>
      <c r="D164" s="55" t="s">
        <v>415</v>
      </c>
      <c r="E164" s="56">
        <v>298883.33</v>
      </c>
      <c r="F164" s="56">
        <v>298883.33</v>
      </c>
      <c r="G164" s="57">
        <v>1</v>
      </c>
      <c r="H164" s="61">
        <v>1</v>
      </c>
      <c r="I164" s="59">
        <v>45566</v>
      </c>
      <c r="J164" s="55" t="s">
        <v>416</v>
      </c>
      <c r="K164" s="55" t="s">
        <v>67</v>
      </c>
      <c r="L164" t="s">
        <v>14</v>
      </c>
    </row>
    <row r="165" spans="1:12">
      <c r="A165" s="54">
        <v>10549</v>
      </c>
      <c r="B165" s="55" t="s">
        <v>11</v>
      </c>
      <c r="C165" s="55" t="s">
        <v>33</v>
      </c>
      <c r="D165" s="55" t="s">
        <v>417</v>
      </c>
      <c r="E165" s="56">
        <v>11934643.89</v>
      </c>
      <c r="F165" s="56">
        <v>11934643.89</v>
      </c>
      <c r="G165" s="57">
        <v>1</v>
      </c>
      <c r="H165" s="61">
        <v>1</v>
      </c>
      <c r="I165" s="60">
        <v>45594</v>
      </c>
      <c r="J165" s="55" t="s">
        <v>35</v>
      </c>
      <c r="K165" s="55" t="s">
        <v>36</v>
      </c>
      <c r="L165" t="s">
        <v>418</v>
      </c>
    </row>
    <row r="166" spans="1:12">
      <c r="A166" s="54">
        <v>13914</v>
      </c>
      <c r="B166" s="55" t="s">
        <v>11</v>
      </c>
      <c r="C166" s="55" t="s">
        <v>222</v>
      </c>
      <c r="D166" s="55" t="s">
        <v>419</v>
      </c>
      <c r="E166" s="56">
        <v>677984.83</v>
      </c>
      <c r="F166" s="56">
        <v>674308.35</v>
      </c>
      <c r="G166" s="57">
        <v>1</v>
      </c>
      <c r="H166" s="61">
        <v>1</v>
      </c>
      <c r="I166" s="59">
        <v>45853</v>
      </c>
      <c r="J166" s="55" t="s">
        <v>420</v>
      </c>
      <c r="K166" s="55" t="s">
        <v>81</v>
      </c>
      <c r="L166" t="s">
        <v>14</v>
      </c>
    </row>
    <row r="167" spans="1:12">
      <c r="A167" s="54">
        <v>13896</v>
      </c>
      <c r="B167" s="55" t="s">
        <v>11</v>
      </c>
      <c r="C167" s="55" t="s">
        <v>222</v>
      </c>
      <c r="D167" s="55" t="s">
        <v>421</v>
      </c>
      <c r="E167" s="56">
        <v>959013.52</v>
      </c>
      <c r="F167" s="56">
        <v>959013.52</v>
      </c>
      <c r="G167" s="57">
        <v>1</v>
      </c>
      <c r="H167" s="61">
        <v>1</v>
      </c>
      <c r="I167" s="59">
        <v>45811</v>
      </c>
      <c r="J167" s="55" t="s">
        <v>57</v>
      </c>
      <c r="K167" s="55" t="s">
        <v>24</v>
      </c>
      <c r="L167" t="s">
        <v>14</v>
      </c>
    </row>
    <row r="168" spans="1:12">
      <c r="A168" s="54">
        <v>14259</v>
      </c>
      <c r="B168" s="55" t="s">
        <v>11</v>
      </c>
      <c r="C168" s="55" t="s">
        <v>25</v>
      </c>
      <c r="D168" s="55" t="s">
        <v>422</v>
      </c>
      <c r="E168" s="56">
        <v>368921.82</v>
      </c>
      <c r="F168" s="56">
        <v>368921.82</v>
      </c>
      <c r="G168" s="57">
        <v>1</v>
      </c>
      <c r="H168" s="61">
        <v>1</v>
      </c>
      <c r="I168" s="59">
        <v>45803</v>
      </c>
      <c r="J168" s="55" t="s">
        <v>57</v>
      </c>
      <c r="K168" s="55" t="s">
        <v>24</v>
      </c>
      <c r="L168" t="s">
        <v>14</v>
      </c>
    </row>
    <row r="169" spans="1:12">
      <c r="A169" s="54">
        <v>13107</v>
      </c>
      <c r="B169" s="55" t="s">
        <v>11</v>
      </c>
      <c r="C169" s="55" t="s">
        <v>21</v>
      </c>
      <c r="D169" s="55" t="s">
        <v>423</v>
      </c>
      <c r="E169" s="56">
        <v>647230.19</v>
      </c>
      <c r="F169" s="56">
        <v>669562.03</v>
      </c>
      <c r="G169" s="57">
        <v>1</v>
      </c>
      <c r="H169" s="61">
        <v>1</v>
      </c>
      <c r="I169" s="59">
        <v>45440</v>
      </c>
      <c r="J169" s="55" t="s">
        <v>57</v>
      </c>
      <c r="K169" s="55" t="s">
        <v>24</v>
      </c>
      <c r="L169" t="s">
        <v>14</v>
      </c>
    </row>
    <row r="170" spans="1:12">
      <c r="A170" s="54">
        <v>13101</v>
      </c>
      <c r="B170" s="55" t="s">
        <v>11</v>
      </c>
      <c r="C170" s="55" t="s">
        <v>21</v>
      </c>
      <c r="D170" s="55" t="s">
        <v>424</v>
      </c>
      <c r="E170" s="56">
        <v>1092948.49</v>
      </c>
      <c r="F170" s="56">
        <v>1082019.01</v>
      </c>
      <c r="G170" s="57">
        <v>1</v>
      </c>
      <c r="H170" s="61">
        <v>1</v>
      </c>
      <c r="I170" s="59">
        <v>45440</v>
      </c>
      <c r="J170" s="55" t="s">
        <v>425</v>
      </c>
      <c r="K170" s="55" t="s">
        <v>426</v>
      </c>
      <c r="L170" t="s">
        <v>14</v>
      </c>
    </row>
    <row r="171" spans="1:12">
      <c r="A171" s="54">
        <v>13911</v>
      </c>
      <c r="B171" s="55" t="s">
        <v>11</v>
      </c>
      <c r="C171" s="55" t="s">
        <v>222</v>
      </c>
      <c r="D171" s="55" t="s">
        <v>427</v>
      </c>
      <c r="E171" s="56">
        <v>673928.2</v>
      </c>
      <c r="F171" s="56">
        <v>670227.66</v>
      </c>
      <c r="G171" s="57">
        <v>1</v>
      </c>
      <c r="H171" s="61">
        <v>1</v>
      </c>
      <c r="I171" s="59">
        <v>45853</v>
      </c>
      <c r="J171" s="55" t="s">
        <v>428</v>
      </c>
      <c r="K171" s="55" t="s">
        <v>47</v>
      </c>
      <c r="L171" t="s">
        <v>14</v>
      </c>
    </row>
    <row r="172" spans="1:12">
      <c r="A172" s="54">
        <v>10266</v>
      </c>
      <c r="B172" s="55" t="s">
        <v>11</v>
      </c>
      <c r="C172" s="55" t="s">
        <v>91</v>
      </c>
      <c r="D172" s="55" t="s">
        <v>429</v>
      </c>
      <c r="E172" s="56">
        <v>163258.66</v>
      </c>
      <c r="F172" s="56">
        <v>163258.66</v>
      </c>
      <c r="G172" s="57">
        <v>1</v>
      </c>
      <c r="H172" s="61">
        <v>1</v>
      </c>
      <c r="I172" s="59">
        <v>45390</v>
      </c>
      <c r="J172" s="55" t="s">
        <v>63</v>
      </c>
      <c r="K172" s="55" t="s">
        <v>28</v>
      </c>
      <c r="L172" t="s">
        <v>14</v>
      </c>
    </row>
    <row r="173" spans="1:12">
      <c r="A173" s="54">
        <v>12648</v>
      </c>
      <c r="B173" s="55" t="s">
        <v>11</v>
      </c>
      <c r="C173" s="55" t="s">
        <v>25</v>
      </c>
      <c r="D173" s="55" t="s">
        <v>430</v>
      </c>
      <c r="E173" s="56">
        <v>289766.15</v>
      </c>
      <c r="F173" s="56">
        <v>289766.15</v>
      </c>
      <c r="G173" s="57">
        <v>1</v>
      </c>
      <c r="H173" s="61">
        <v>1</v>
      </c>
      <c r="I173" s="59">
        <v>45531</v>
      </c>
      <c r="J173" s="55" t="s">
        <v>63</v>
      </c>
      <c r="K173" s="55" t="s">
        <v>28</v>
      </c>
      <c r="L173" t="s">
        <v>14</v>
      </c>
    </row>
    <row r="174" spans="1:12">
      <c r="A174" s="54">
        <v>12287</v>
      </c>
      <c r="B174" s="55" t="s">
        <v>11</v>
      </c>
      <c r="C174" s="55" t="s">
        <v>12</v>
      </c>
      <c r="D174" s="55" t="s">
        <v>431</v>
      </c>
      <c r="E174" s="56">
        <v>320482.88</v>
      </c>
      <c r="F174" s="56">
        <v>320482.88</v>
      </c>
      <c r="G174" s="57">
        <v>1</v>
      </c>
      <c r="H174" s="61">
        <v>1</v>
      </c>
      <c r="I174" s="59">
        <v>45472</v>
      </c>
      <c r="J174" s="55" t="s">
        <v>63</v>
      </c>
      <c r="K174" s="55" t="s">
        <v>28</v>
      </c>
      <c r="L174" t="s">
        <v>14</v>
      </c>
    </row>
    <row r="175" spans="1:12">
      <c r="A175" s="54">
        <v>12694</v>
      </c>
      <c r="B175" s="55" t="s">
        <v>11</v>
      </c>
      <c r="C175" s="55" t="s">
        <v>21</v>
      </c>
      <c r="D175" s="55" t="s">
        <v>432</v>
      </c>
      <c r="E175" s="56">
        <v>395005.36</v>
      </c>
      <c r="F175" s="56">
        <v>395005.36</v>
      </c>
      <c r="G175" s="57">
        <v>1</v>
      </c>
      <c r="H175" s="61">
        <v>1</v>
      </c>
      <c r="I175" s="59">
        <v>45841</v>
      </c>
      <c r="J175" s="55" t="s">
        <v>63</v>
      </c>
      <c r="K175" s="55" t="s">
        <v>28</v>
      </c>
      <c r="L175" t="s">
        <v>14</v>
      </c>
    </row>
    <row r="176" spans="1:12">
      <c r="A176" s="54">
        <v>10925</v>
      </c>
      <c r="B176" s="55" t="s">
        <v>11</v>
      </c>
      <c r="C176" s="55" t="s">
        <v>12</v>
      </c>
      <c r="D176" s="55" t="s">
        <v>433</v>
      </c>
      <c r="E176" s="56">
        <v>996373.81</v>
      </c>
      <c r="F176" s="56">
        <v>996373.81</v>
      </c>
      <c r="G176" s="57">
        <v>1</v>
      </c>
      <c r="H176" s="61">
        <v>1</v>
      </c>
      <c r="I176" s="59">
        <v>45504</v>
      </c>
      <c r="J176" s="55" t="s">
        <v>63</v>
      </c>
      <c r="K176" s="55" t="s">
        <v>28</v>
      </c>
      <c r="L176" t="s">
        <v>14</v>
      </c>
    </row>
    <row r="177" spans="1:12">
      <c r="A177" s="54">
        <v>13225</v>
      </c>
      <c r="B177" s="55" t="s">
        <v>11</v>
      </c>
      <c r="C177" s="55" t="s">
        <v>186</v>
      </c>
      <c r="D177" s="55" t="s">
        <v>434</v>
      </c>
      <c r="E177" s="56">
        <v>1652856.55</v>
      </c>
      <c r="F177" s="56">
        <v>1652856.55</v>
      </c>
      <c r="G177" s="57">
        <v>1</v>
      </c>
      <c r="H177" s="61">
        <v>1</v>
      </c>
      <c r="I177" s="59">
        <v>45705</v>
      </c>
      <c r="J177" s="55" t="s">
        <v>63</v>
      </c>
      <c r="K177" s="55" t="s">
        <v>28</v>
      </c>
      <c r="L177" t="s">
        <v>14</v>
      </c>
    </row>
    <row r="178" spans="1:12">
      <c r="A178" s="54">
        <v>12438</v>
      </c>
      <c r="B178" s="55" t="s">
        <v>11</v>
      </c>
      <c r="C178" s="55" t="s">
        <v>25</v>
      </c>
      <c r="D178" s="55" t="s">
        <v>435</v>
      </c>
      <c r="E178" s="56">
        <v>195077.66</v>
      </c>
      <c r="F178" s="56">
        <v>195077.66</v>
      </c>
      <c r="G178" s="57">
        <v>1</v>
      </c>
      <c r="H178" s="61">
        <v>1</v>
      </c>
      <c r="I178" s="60">
        <v>46001</v>
      </c>
      <c r="J178" s="55" t="s">
        <v>63</v>
      </c>
      <c r="K178" s="55" t="s">
        <v>28</v>
      </c>
      <c r="L178" t="s">
        <v>14</v>
      </c>
    </row>
    <row r="179" spans="1:12">
      <c r="A179" s="54">
        <v>13628</v>
      </c>
      <c r="B179" s="55" t="s">
        <v>11</v>
      </c>
      <c r="C179" s="55" t="s">
        <v>25</v>
      </c>
      <c r="D179" s="55" t="s">
        <v>436</v>
      </c>
      <c r="E179" s="56">
        <v>239672.92</v>
      </c>
      <c r="F179" s="56">
        <v>239672.92</v>
      </c>
      <c r="G179" s="57">
        <v>1</v>
      </c>
      <c r="H179" s="61">
        <v>1</v>
      </c>
      <c r="I179" s="59">
        <v>45811</v>
      </c>
      <c r="J179" s="55" t="s">
        <v>63</v>
      </c>
      <c r="K179" s="55" t="s">
        <v>28</v>
      </c>
      <c r="L179" t="s">
        <v>14</v>
      </c>
    </row>
    <row r="180" spans="1:12">
      <c r="A180" s="54">
        <v>12439</v>
      </c>
      <c r="B180" s="55" t="s">
        <v>11</v>
      </c>
      <c r="C180" s="55" t="s">
        <v>25</v>
      </c>
      <c r="D180" s="55" t="s">
        <v>437</v>
      </c>
      <c r="E180" s="56">
        <v>174849.21</v>
      </c>
      <c r="F180" s="56">
        <v>174849.21</v>
      </c>
      <c r="G180" s="57">
        <v>1</v>
      </c>
      <c r="H180" s="61">
        <v>1</v>
      </c>
      <c r="I180" s="60">
        <v>45971</v>
      </c>
      <c r="J180" s="55" t="s">
        <v>63</v>
      </c>
      <c r="K180" s="55" t="s">
        <v>28</v>
      </c>
      <c r="L180" t="s">
        <v>14</v>
      </c>
    </row>
    <row r="181" spans="1:12">
      <c r="A181" s="54">
        <v>8338</v>
      </c>
      <c r="B181" s="55" t="s">
        <v>11</v>
      </c>
      <c r="C181" s="55" t="s">
        <v>438</v>
      </c>
      <c r="D181" s="55" t="s">
        <v>439</v>
      </c>
      <c r="E181" s="56">
        <v>385372.31</v>
      </c>
      <c r="F181" s="56">
        <v>333872.04</v>
      </c>
      <c r="G181" s="57">
        <v>1</v>
      </c>
      <c r="H181" s="61">
        <v>1</v>
      </c>
      <c r="I181" s="59">
        <v>45770</v>
      </c>
      <c r="J181" s="55" t="s">
        <v>440</v>
      </c>
      <c r="K181" s="55" t="s">
        <v>28</v>
      </c>
      <c r="L181" t="s">
        <v>441</v>
      </c>
    </row>
    <row r="182" spans="1:12">
      <c r="A182" s="54">
        <v>14100</v>
      </c>
      <c r="B182" s="55" t="s">
        <v>11</v>
      </c>
      <c r="C182" s="55" t="s">
        <v>18</v>
      </c>
      <c r="D182" s="55" t="s">
        <v>442</v>
      </c>
      <c r="E182" s="56">
        <v>716983.06</v>
      </c>
      <c r="F182" s="56">
        <v>653644.17</v>
      </c>
      <c r="G182" s="57">
        <v>1</v>
      </c>
      <c r="H182" s="61">
        <v>1</v>
      </c>
      <c r="I182" s="59">
        <v>45909</v>
      </c>
      <c r="J182" s="55" t="s">
        <v>443</v>
      </c>
      <c r="K182" s="55" t="s">
        <v>28</v>
      </c>
      <c r="L182" t="s">
        <v>444</v>
      </c>
    </row>
    <row r="183" spans="1:12">
      <c r="A183" s="54">
        <v>7947</v>
      </c>
      <c r="B183" s="55" t="s">
        <v>11</v>
      </c>
      <c r="C183" s="55" t="s">
        <v>38</v>
      </c>
      <c r="D183" s="55" t="s">
        <v>445</v>
      </c>
      <c r="E183" s="56">
        <v>712663.14</v>
      </c>
      <c r="F183" s="56">
        <v>661279.9</v>
      </c>
      <c r="G183" s="57">
        <v>1</v>
      </c>
      <c r="H183" s="61">
        <v>1</v>
      </c>
      <c r="I183" s="60">
        <v>45596</v>
      </c>
      <c r="J183" s="55" t="s">
        <v>446</v>
      </c>
      <c r="K183" s="55" t="s">
        <v>28</v>
      </c>
      <c r="L183" t="s">
        <v>447</v>
      </c>
    </row>
    <row r="184" spans="1:12">
      <c r="A184" s="54">
        <v>12087</v>
      </c>
      <c r="B184" s="55" t="s">
        <v>11</v>
      </c>
      <c r="C184" s="55" t="s">
        <v>61</v>
      </c>
      <c r="D184" s="55" t="s">
        <v>448</v>
      </c>
      <c r="E184" s="56">
        <v>1098180.81</v>
      </c>
      <c r="F184" s="56">
        <v>1073900.44</v>
      </c>
      <c r="G184" s="57">
        <v>1</v>
      </c>
      <c r="H184" s="61">
        <v>1</v>
      </c>
      <c r="I184" s="59">
        <v>45761</v>
      </c>
      <c r="J184" s="55" t="s">
        <v>128</v>
      </c>
      <c r="K184" s="55" t="s">
        <v>47</v>
      </c>
      <c r="L184" t="s">
        <v>449</v>
      </c>
    </row>
    <row r="185" spans="1:12">
      <c r="A185" s="54">
        <v>11862</v>
      </c>
      <c r="B185" s="55" t="s">
        <v>11</v>
      </c>
      <c r="C185" s="55" t="s">
        <v>87</v>
      </c>
      <c r="D185" s="55" t="s">
        <v>450</v>
      </c>
      <c r="E185" s="56">
        <v>24295.68</v>
      </c>
      <c r="F185" s="56">
        <v>24004.13</v>
      </c>
      <c r="G185" s="57">
        <v>1</v>
      </c>
      <c r="H185" s="61">
        <v>1</v>
      </c>
      <c r="I185" s="59">
        <v>45308</v>
      </c>
      <c r="J185" s="55" t="s">
        <v>451</v>
      </c>
      <c r="K185" s="55" t="s">
        <v>28</v>
      </c>
      <c r="L185" t="s">
        <v>452</v>
      </c>
    </row>
    <row r="186" spans="1:12">
      <c r="A186" s="54">
        <v>15110</v>
      </c>
      <c r="B186" s="55" t="s">
        <v>11</v>
      </c>
      <c r="C186" s="55" t="s">
        <v>203</v>
      </c>
      <c r="D186" s="55" t="s">
        <v>453</v>
      </c>
      <c r="E186" s="56">
        <v>285536.18</v>
      </c>
      <c r="F186" s="56">
        <v>282109.75</v>
      </c>
      <c r="G186" s="57">
        <v>1</v>
      </c>
      <c r="H186" s="61">
        <v>1</v>
      </c>
      <c r="I186" s="60">
        <v>45988</v>
      </c>
      <c r="J186" s="55" t="s">
        <v>454</v>
      </c>
      <c r="K186" s="55" t="s">
        <v>28</v>
      </c>
      <c r="L186" t="s">
        <v>455</v>
      </c>
    </row>
    <row r="187" spans="1:12">
      <c r="A187" s="54">
        <v>11676</v>
      </c>
      <c r="B187" s="55" t="s">
        <v>11</v>
      </c>
      <c r="C187" s="55" t="s">
        <v>55</v>
      </c>
      <c r="D187" s="55" t="s">
        <v>456</v>
      </c>
      <c r="E187" s="56">
        <v>72866.36</v>
      </c>
      <c r="F187" s="56">
        <v>71991.97</v>
      </c>
      <c r="G187" s="57">
        <v>1</v>
      </c>
      <c r="H187" s="61">
        <v>1</v>
      </c>
      <c r="I187" s="59">
        <v>45709</v>
      </c>
      <c r="J187" s="55" t="s">
        <v>457</v>
      </c>
      <c r="K187" s="55" t="s">
        <v>28</v>
      </c>
      <c r="L187" t="s">
        <v>458</v>
      </c>
    </row>
    <row r="188" spans="1:12">
      <c r="A188" s="54">
        <v>10679</v>
      </c>
      <c r="B188" s="55" t="s">
        <v>11</v>
      </c>
      <c r="C188" s="55" t="s">
        <v>151</v>
      </c>
      <c r="D188" s="55" t="s">
        <v>459</v>
      </c>
      <c r="E188" s="56">
        <v>496827.12</v>
      </c>
      <c r="F188" s="56">
        <v>492942.5</v>
      </c>
      <c r="G188" s="57">
        <v>1</v>
      </c>
      <c r="H188" s="61">
        <v>1</v>
      </c>
      <c r="I188" s="59">
        <v>45839</v>
      </c>
      <c r="J188" s="55" t="s">
        <v>27</v>
      </c>
      <c r="K188" s="55" t="s">
        <v>137</v>
      </c>
      <c r="L188" t="s">
        <v>460</v>
      </c>
    </row>
    <row r="189" spans="1:12">
      <c r="A189" s="54">
        <v>9377</v>
      </c>
      <c r="B189" s="55" t="s">
        <v>11</v>
      </c>
      <c r="C189" s="55" t="s">
        <v>83</v>
      </c>
      <c r="D189" s="55" t="s">
        <v>461</v>
      </c>
      <c r="E189" s="56">
        <v>278043.16</v>
      </c>
      <c r="F189" s="56">
        <v>276111.16</v>
      </c>
      <c r="G189" s="57">
        <v>1</v>
      </c>
      <c r="H189" s="61">
        <v>1</v>
      </c>
      <c r="I189" s="59">
        <v>44985</v>
      </c>
      <c r="J189" s="55" t="s">
        <v>462</v>
      </c>
      <c r="K189" s="55" t="s">
        <v>47</v>
      </c>
      <c r="L189" t="s">
        <v>463</v>
      </c>
    </row>
    <row r="190" spans="1:12">
      <c r="A190" s="54">
        <v>13809</v>
      </c>
      <c r="B190" s="55" t="s">
        <v>11</v>
      </c>
      <c r="C190" s="55" t="s">
        <v>87</v>
      </c>
      <c r="D190" s="55" t="s">
        <v>464</v>
      </c>
      <c r="E190" s="56">
        <v>76985.51</v>
      </c>
      <c r="F190" s="56">
        <v>76547.83</v>
      </c>
      <c r="G190" s="57">
        <v>1</v>
      </c>
      <c r="H190" s="61">
        <v>1</v>
      </c>
      <c r="I190" s="60">
        <v>45978</v>
      </c>
      <c r="J190" s="55" t="s">
        <v>465</v>
      </c>
      <c r="K190" s="55" t="s">
        <v>28</v>
      </c>
      <c r="L190" t="s">
        <v>466</v>
      </c>
    </row>
    <row r="191" spans="1:12">
      <c r="A191" s="54">
        <v>12239</v>
      </c>
      <c r="B191" s="55" t="s">
        <v>11</v>
      </c>
      <c r="C191" s="55" t="s">
        <v>12</v>
      </c>
      <c r="D191" s="55" t="s">
        <v>467</v>
      </c>
      <c r="E191" s="56">
        <v>564029.16</v>
      </c>
      <c r="F191" s="56">
        <v>562076.78</v>
      </c>
      <c r="G191" s="57">
        <v>1</v>
      </c>
      <c r="H191" s="61">
        <v>1</v>
      </c>
      <c r="I191" s="59">
        <v>45436</v>
      </c>
      <c r="J191" s="55" t="s">
        <v>468</v>
      </c>
      <c r="K191" s="55" t="s">
        <v>28</v>
      </c>
      <c r="L191" t="s">
        <v>469</v>
      </c>
    </row>
    <row r="192" spans="1:12">
      <c r="A192" s="54">
        <v>14476</v>
      </c>
      <c r="B192" s="55" t="s">
        <v>11</v>
      </c>
      <c r="C192" s="55" t="s">
        <v>12</v>
      </c>
      <c r="D192" s="55" t="s">
        <v>470</v>
      </c>
      <c r="E192" s="56">
        <v>467330.94</v>
      </c>
      <c r="F192" s="56">
        <v>467330.94</v>
      </c>
      <c r="G192" s="57">
        <v>1</v>
      </c>
      <c r="H192" s="61">
        <v>1</v>
      </c>
      <c r="I192" s="59">
        <v>45933</v>
      </c>
      <c r="J192" s="55" t="s">
        <v>471</v>
      </c>
      <c r="K192" s="55" t="s">
        <v>24</v>
      </c>
      <c r="L192" t="s">
        <v>472</v>
      </c>
    </row>
    <row r="193" spans="1:12">
      <c r="A193" s="54">
        <v>12528</v>
      </c>
      <c r="B193" s="55" t="s">
        <v>11</v>
      </c>
      <c r="C193" s="55" t="s">
        <v>203</v>
      </c>
      <c r="D193" s="55" t="s">
        <v>473</v>
      </c>
      <c r="E193" s="56">
        <v>505122.07</v>
      </c>
      <c r="F193" s="56">
        <v>505122.07</v>
      </c>
      <c r="G193" s="57">
        <v>1</v>
      </c>
      <c r="H193" s="61">
        <v>1</v>
      </c>
      <c r="I193" s="59">
        <v>45813</v>
      </c>
      <c r="J193" s="55" t="s">
        <v>474</v>
      </c>
      <c r="K193" s="55" t="s">
        <v>28</v>
      </c>
      <c r="L193" t="s">
        <v>475</v>
      </c>
    </row>
    <row r="194" spans="1:12">
      <c r="A194" s="54">
        <v>13432</v>
      </c>
      <c r="B194" s="55" t="s">
        <v>11</v>
      </c>
      <c r="C194" s="55" t="s">
        <v>203</v>
      </c>
      <c r="D194" s="55" t="s">
        <v>476</v>
      </c>
      <c r="E194" s="56">
        <v>1503309.07</v>
      </c>
      <c r="F194" s="56">
        <v>1503309.07</v>
      </c>
      <c r="G194" s="57">
        <v>1</v>
      </c>
      <c r="H194" s="61">
        <v>1</v>
      </c>
      <c r="I194" s="60">
        <v>45614</v>
      </c>
      <c r="J194" s="55" t="s">
        <v>27</v>
      </c>
      <c r="K194" s="55" t="s">
        <v>28</v>
      </c>
      <c r="L194" t="s">
        <v>477</v>
      </c>
    </row>
    <row r="195" spans="1:12">
      <c r="A195" s="54">
        <v>15518</v>
      </c>
      <c r="B195" s="55" t="s">
        <v>11</v>
      </c>
      <c r="C195" s="55" t="s">
        <v>87</v>
      </c>
      <c r="D195" s="55" t="s">
        <v>478</v>
      </c>
      <c r="E195" s="56">
        <v>122858.86</v>
      </c>
      <c r="F195" s="56">
        <v>122858.86</v>
      </c>
      <c r="G195" s="57">
        <v>1</v>
      </c>
      <c r="H195" s="61">
        <v>1</v>
      </c>
      <c r="I195" s="59">
        <v>45966</v>
      </c>
      <c r="J195" s="55" t="s">
        <v>479</v>
      </c>
      <c r="K195" s="55" t="s">
        <v>28</v>
      </c>
      <c r="L195" t="s">
        <v>480</v>
      </c>
    </row>
    <row r="196" spans="1:12">
      <c r="A196" s="54">
        <v>12579</v>
      </c>
      <c r="B196" s="55" t="s">
        <v>11</v>
      </c>
      <c r="C196" s="55" t="s">
        <v>12</v>
      </c>
      <c r="D196" s="55" t="s">
        <v>481</v>
      </c>
      <c r="E196" s="56">
        <v>169022.2</v>
      </c>
      <c r="F196" s="56">
        <v>169022.2</v>
      </c>
      <c r="G196" s="57">
        <v>1</v>
      </c>
      <c r="H196" s="61">
        <v>1</v>
      </c>
      <c r="I196" s="59">
        <v>45535</v>
      </c>
      <c r="J196" s="55" t="s">
        <v>482</v>
      </c>
      <c r="K196" s="55" t="s">
        <v>28</v>
      </c>
      <c r="L196" t="s">
        <v>483</v>
      </c>
    </row>
    <row r="197" spans="1:12">
      <c r="A197" s="54">
        <v>12711</v>
      </c>
      <c r="B197" s="55" t="s">
        <v>11</v>
      </c>
      <c r="C197" s="55" t="s">
        <v>18</v>
      </c>
      <c r="D197" s="55" t="s">
        <v>484</v>
      </c>
      <c r="E197" s="56">
        <v>243118.42</v>
      </c>
      <c r="F197" s="56">
        <v>243118.42</v>
      </c>
      <c r="G197" s="57">
        <v>1</v>
      </c>
      <c r="H197" s="61">
        <v>1</v>
      </c>
      <c r="I197" s="59">
        <v>45541</v>
      </c>
      <c r="J197" s="55" t="s">
        <v>485</v>
      </c>
      <c r="K197" s="55" t="s">
        <v>28</v>
      </c>
      <c r="L197" t="s">
        <v>486</v>
      </c>
    </row>
    <row r="198" spans="1:12">
      <c r="A198" s="54">
        <v>12425</v>
      </c>
      <c r="B198" s="55" t="s">
        <v>11</v>
      </c>
      <c r="C198" s="55" t="s">
        <v>186</v>
      </c>
      <c r="D198" s="55" t="s">
        <v>487</v>
      </c>
      <c r="E198" s="56">
        <v>302320.77</v>
      </c>
      <c r="F198" s="56">
        <v>302320.77</v>
      </c>
      <c r="G198" s="57">
        <v>1</v>
      </c>
      <c r="H198" s="61">
        <v>1</v>
      </c>
      <c r="I198" s="59">
        <v>45894</v>
      </c>
      <c r="J198" s="55" t="s">
        <v>14</v>
      </c>
      <c r="K198" s="55" t="s">
        <v>28</v>
      </c>
      <c r="L198" t="s">
        <v>488</v>
      </c>
    </row>
    <row r="199" spans="1:12">
      <c r="A199" s="54">
        <v>12531</v>
      </c>
      <c r="B199" s="55" t="s">
        <v>11</v>
      </c>
      <c r="C199" s="55" t="s">
        <v>203</v>
      </c>
      <c r="D199" s="55" t="s">
        <v>489</v>
      </c>
      <c r="E199" s="56">
        <v>424306.44</v>
      </c>
      <c r="F199" s="56">
        <v>424306.44</v>
      </c>
      <c r="G199" s="57">
        <v>1</v>
      </c>
      <c r="H199" s="61">
        <v>1</v>
      </c>
      <c r="I199" s="59">
        <v>45574</v>
      </c>
      <c r="J199" s="55" t="s">
        <v>474</v>
      </c>
      <c r="K199" s="55" t="s">
        <v>28</v>
      </c>
      <c r="L199" t="s">
        <v>490</v>
      </c>
    </row>
    <row r="200" spans="1:12">
      <c r="A200" s="54">
        <v>12356</v>
      </c>
      <c r="B200" s="55" t="s">
        <v>11</v>
      </c>
      <c r="C200" s="55" t="s">
        <v>18</v>
      </c>
      <c r="D200" s="55" t="s">
        <v>491</v>
      </c>
      <c r="E200" s="56">
        <v>458831.92</v>
      </c>
      <c r="F200" s="56">
        <v>458831.92</v>
      </c>
      <c r="G200" s="57">
        <v>1</v>
      </c>
      <c r="H200" s="61">
        <v>1</v>
      </c>
      <c r="I200" s="59">
        <v>45877</v>
      </c>
      <c r="J200" s="55" t="s">
        <v>492</v>
      </c>
      <c r="K200" s="55" t="s">
        <v>28</v>
      </c>
      <c r="L200" t="s">
        <v>493</v>
      </c>
    </row>
    <row r="201" spans="1:12">
      <c r="A201" s="54">
        <v>12245</v>
      </c>
      <c r="B201" s="55" t="s">
        <v>11</v>
      </c>
      <c r="C201" s="55" t="s">
        <v>12</v>
      </c>
      <c r="D201" s="55" t="s">
        <v>494</v>
      </c>
      <c r="E201" s="56">
        <v>479563.55</v>
      </c>
      <c r="F201" s="56">
        <v>479563.55</v>
      </c>
      <c r="G201" s="57">
        <v>1</v>
      </c>
      <c r="H201" s="61">
        <v>1</v>
      </c>
      <c r="I201" s="59">
        <v>45672</v>
      </c>
      <c r="J201" s="55" t="s">
        <v>495</v>
      </c>
      <c r="K201" s="55" t="s">
        <v>28</v>
      </c>
      <c r="L201" t="s">
        <v>496</v>
      </c>
    </row>
    <row r="202" spans="1:12">
      <c r="A202" s="54">
        <v>15949</v>
      </c>
      <c r="B202" s="55" t="s">
        <v>11</v>
      </c>
      <c r="C202" s="55" t="s">
        <v>83</v>
      </c>
      <c r="D202" s="55" t="s">
        <v>497</v>
      </c>
      <c r="E202" s="56">
        <v>514912.39</v>
      </c>
      <c r="F202" s="56">
        <v>514912.39</v>
      </c>
      <c r="G202" s="57">
        <v>1</v>
      </c>
      <c r="H202" s="61">
        <v>1</v>
      </c>
      <c r="I202" s="60">
        <v>46008</v>
      </c>
      <c r="J202" s="55" t="s">
        <v>498</v>
      </c>
      <c r="K202" s="55" t="s">
        <v>28</v>
      </c>
      <c r="L202" t="s">
        <v>499</v>
      </c>
    </row>
    <row r="203" spans="1:12">
      <c r="A203" s="54">
        <v>10370</v>
      </c>
      <c r="B203" s="55" t="s">
        <v>11</v>
      </c>
      <c r="C203" s="55" t="s">
        <v>438</v>
      </c>
      <c r="D203" s="55" t="s">
        <v>500</v>
      </c>
      <c r="E203" s="56">
        <v>548319.99</v>
      </c>
      <c r="F203" s="56">
        <v>548319.99</v>
      </c>
      <c r="G203" s="57">
        <v>1</v>
      </c>
      <c r="H203" s="61">
        <v>1</v>
      </c>
      <c r="I203" s="59">
        <v>45036</v>
      </c>
      <c r="J203" s="55" t="s">
        <v>501</v>
      </c>
      <c r="K203" s="55" t="s">
        <v>28</v>
      </c>
      <c r="L203" t="s">
        <v>502</v>
      </c>
    </row>
    <row r="204" spans="1:12">
      <c r="A204" s="54">
        <v>14197</v>
      </c>
      <c r="B204" s="55" t="s">
        <v>11</v>
      </c>
      <c r="C204" s="55" t="s">
        <v>41</v>
      </c>
      <c r="D204" s="55" t="s">
        <v>503</v>
      </c>
      <c r="E204" s="56">
        <v>650000</v>
      </c>
      <c r="F204" s="56">
        <v>650000</v>
      </c>
      <c r="G204" s="57">
        <v>1</v>
      </c>
      <c r="H204" s="61">
        <v>1</v>
      </c>
      <c r="I204" s="59">
        <v>45730</v>
      </c>
      <c r="J204" s="55" t="s">
        <v>504</v>
      </c>
      <c r="K204" s="55" t="s">
        <v>28</v>
      </c>
      <c r="L204" t="s">
        <v>505</v>
      </c>
    </row>
    <row r="205" spans="1:12">
      <c r="A205" s="54">
        <v>12801</v>
      </c>
      <c r="B205" s="55" t="s">
        <v>11</v>
      </c>
      <c r="C205" s="55" t="s">
        <v>203</v>
      </c>
      <c r="D205" s="55" t="s">
        <v>506</v>
      </c>
      <c r="E205" s="56">
        <v>788400</v>
      </c>
      <c r="F205" s="56">
        <v>788400</v>
      </c>
      <c r="G205" s="57">
        <v>1</v>
      </c>
      <c r="H205" s="61">
        <v>1</v>
      </c>
      <c r="I205" s="60">
        <v>45624</v>
      </c>
      <c r="J205" s="55" t="s">
        <v>507</v>
      </c>
      <c r="K205" s="55" t="s">
        <v>28</v>
      </c>
      <c r="L205" t="s">
        <v>508</v>
      </c>
    </row>
    <row r="206" spans="1:12">
      <c r="A206" s="54">
        <v>14535</v>
      </c>
      <c r="B206" s="55" t="s">
        <v>11</v>
      </c>
      <c r="C206" s="55" t="s">
        <v>12</v>
      </c>
      <c r="D206" s="55" t="s">
        <v>509</v>
      </c>
      <c r="E206" s="56">
        <v>824900</v>
      </c>
      <c r="F206" s="56">
        <v>824900</v>
      </c>
      <c r="G206" s="57">
        <v>1</v>
      </c>
      <c r="H206" s="61">
        <v>1</v>
      </c>
      <c r="I206" s="59">
        <v>45970</v>
      </c>
      <c r="J206" s="55" t="s">
        <v>510</v>
      </c>
      <c r="K206" s="55" t="s">
        <v>28</v>
      </c>
      <c r="L206" t="s">
        <v>511</v>
      </c>
    </row>
    <row r="207" spans="1:12">
      <c r="A207" s="54">
        <v>14454</v>
      </c>
      <c r="B207" s="55" t="s">
        <v>11</v>
      </c>
      <c r="C207" s="55" t="s">
        <v>12</v>
      </c>
      <c r="D207" s="55" t="s">
        <v>512</v>
      </c>
      <c r="E207" s="56">
        <v>841105.84</v>
      </c>
      <c r="F207" s="56">
        <v>841105.84</v>
      </c>
      <c r="G207" s="57">
        <v>1</v>
      </c>
      <c r="H207" s="61">
        <v>1</v>
      </c>
      <c r="I207" s="60">
        <v>45974</v>
      </c>
      <c r="J207" s="55" t="s">
        <v>513</v>
      </c>
      <c r="K207" s="55" t="s">
        <v>28</v>
      </c>
      <c r="L207" t="s">
        <v>514</v>
      </c>
    </row>
    <row r="208" spans="1:12">
      <c r="A208" s="54">
        <v>10678</v>
      </c>
      <c r="B208" s="55" t="s">
        <v>11</v>
      </c>
      <c r="C208" s="55" t="s">
        <v>151</v>
      </c>
      <c r="D208" s="55" t="s">
        <v>515</v>
      </c>
      <c r="E208" s="56">
        <v>856602.26</v>
      </c>
      <c r="F208" s="56">
        <v>856602.26</v>
      </c>
      <c r="G208" s="57">
        <v>1</v>
      </c>
      <c r="H208" s="61">
        <v>1</v>
      </c>
      <c r="I208" s="59">
        <v>45805</v>
      </c>
      <c r="J208" s="55" t="s">
        <v>516</v>
      </c>
      <c r="K208" s="55" t="s">
        <v>137</v>
      </c>
      <c r="L208" t="s">
        <v>517</v>
      </c>
    </row>
    <row r="209" spans="1:12">
      <c r="A209" s="54">
        <v>12849</v>
      </c>
      <c r="B209" s="55" t="s">
        <v>11</v>
      </c>
      <c r="C209" s="55" t="s">
        <v>18</v>
      </c>
      <c r="D209" s="55" t="s">
        <v>518</v>
      </c>
      <c r="E209" s="56">
        <v>979184.47</v>
      </c>
      <c r="F209" s="56">
        <v>979184.47</v>
      </c>
      <c r="G209" s="57">
        <v>1</v>
      </c>
      <c r="H209" s="61">
        <v>1</v>
      </c>
      <c r="I209" s="59">
        <v>45792</v>
      </c>
      <c r="J209" s="55" t="s">
        <v>14</v>
      </c>
      <c r="K209" s="55" t="s">
        <v>28</v>
      </c>
      <c r="L209" t="s">
        <v>519</v>
      </c>
    </row>
    <row r="210" spans="1:12">
      <c r="A210" s="54">
        <v>10675</v>
      </c>
      <c r="B210" s="55" t="s">
        <v>11</v>
      </c>
      <c r="C210" s="55" t="s">
        <v>151</v>
      </c>
      <c r="D210" s="55" t="s">
        <v>520</v>
      </c>
      <c r="E210" s="56">
        <v>1086549.76</v>
      </c>
      <c r="F210" s="56">
        <v>1086549.76</v>
      </c>
      <c r="G210" s="57">
        <v>1</v>
      </c>
      <c r="H210" s="61">
        <v>1</v>
      </c>
      <c r="I210" s="59">
        <v>45814</v>
      </c>
      <c r="J210" s="55" t="s">
        <v>521</v>
      </c>
      <c r="K210" s="55" t="s">
        <v>28</v>
      </c>
      <c r="L210" t="s">
        <v>522</v>
      </c>
    </row>
    <row r="211" spans="1:12">
      <c r="A211" s="54">
        <v>11444</v>
      </c>
      <c r="B211" s="55" t="s">
        <v>11</v>
      </c>
      <c r="C211" s="55" t="s">
        <v>18</v>
      </c>
      <c r="D211" s="55" t="s">
        <v>523</v>
      </c>
      <c r="E211" s="56">
        <v>1221918.53</v>
      </c>
      <c r="F211" s="56">
        <v>1221918.53</v>
      </c>
      <c r="G211" s="57">
        <v>1</v>
      </c>
      <c r="H211" s="61">
        <v>1</v>
      </c>
      <c r="I211" s="60">
        <v>45281</v>
      </c>
      <c r="J211" s="55" t="s">
        <v>524</v>
      </c>
      <c r="K211" s="55" t="s">
        <v>137</v>
      </c>
      <c r="L211" t="s">
        <v>525</v>
      </c>
    </row>
    <row r="212" spans="1:12">
      <c r="A212" s="54">
        <v>12969</v>
      </c>
      <c r="B212" s="55" t="s">
        <v>11</v>
      </c>
      <c r="C212" s="55" t="s">
        <v>203</v>
      </c>
      <c r="D212" s="55" t="s">
        <v>526</v>
      </c>
      <c r="E212" s="56">
        <v>1365614.1</v>
      </c>
      <c r="F212" s="56">
        <v>1365614.1</v>
      </c>
      <c r="G212" s="57">
        <v>1</v>
      </c>
      <c r="H212" s="61">
        <v>1</v>
      </c>
      <c r="I212" s="59">
        <v>45635</v>
      </c>
      <c r="J212" s="55" t="s">
        <v>27</v>
      </c>
      <c r="K212" s="55" t="s">
        <v>28</v>
      </c>
      <c r="L212" t="s">
        <v>527</v>
      </c>
    </row>
    <row r="213" spans="1:12">
      <c r="A213" s="54">
        <v>13433</v>
      </c>
      <c r="B213" s="55" t="s">
        <v>11</v>
      </c>
      <c r="C213" s="55" t="s">
        <v>203</v>
      </c>
      <c r="D213" s="55" t="s">
        <v>528</v>
      </c>
      <c r="E213" s="56">
        <v>1479698.93</v>
      </c>
      <c r="F213" s="56">
        <v>1479698.93</v>
      </c>
      <c r="G213" s="57">
        <v>1</v>
      </c>
      <c r="H213" s="61">
        <v>1</v>
      </c>
      <c r="I213" s="60">
        <v>45642</v>
      </c>
      <c r="J213" s="55" t="s">
        <v>14</v>
      </c>
      <c r="K213" s="55" t="s">
        <v>28</v>
      </c>
      <c r="L213" t="s">
        <v>529</v>
      </c>
    </row>
    <row r="214" spans="1:12">
      <c r="A214" s="54">
        <v>12284</v>
      </c>
      <c r="B214" s="55" t="s">
        <v>11</v>
      </c>
      <c r="C214" s="55" t="s">
        <v>18</v>
      </c>
      <c r="D214" s="55" t="s">
        <v>530</v>
      </c>
      <c r="E214" s="56">
        <v>1983928.46</v>
      </c>
      <c r="F214" s="56">
        <v>1457531.94</v>
      </c>
      <c r="G214" s="57">
        <v>1</v>
      </c>
      <c r="H214" s="61">
        <v>1</v>
      </c>
      <c r="I214" s="59">
        <v>45874</v>
      </c>
      <c r="J214" s="55" t="s">
        <v>14</v>
      </c>
      <c r="K214" s="55" t="s">
        <v>28</v>
      </c>
      <c r="L214" t="s">
        <v>14</v>
      </c>
    </row>
    <row r="215" spans="1:12">
      <c r="A215" s="54">
        <v>9559</v>
      </c>
      <c r="B215" s="55" t="s">
        <v>11</v>
      </c>
      <c r="C215" s="55" t="s">
        <v>25</v>
      </c>
      <c r="D215" s="55" t="s">
        <v>531</v>
      </c>
      <c r="E215" s="56">
        <v>1341483.53</v>
      </c>
      <c r="F215" s="56">
        <v>1113411.49</v>
      </c>
      <c r="G215" s="57">
        <v>1</v>
      </c>
      <c r="H215" s="61">
        <v>1</v>
      </c>
      <c r="I215" s="59">
        <v>45121</v>
      </c>
      <c r="J215" s="55" t="s">
        <v>532</v>
      </c>
      <c r="K215" s="55" t="s">
        <v>533</v>
      </c>
      <c r="L215" t="s">
        <v>14</v>
      </c>
    </row>
    <row r="216" spans="1:12">
      <c r="A216" s="54">
        <v>11108</v>
      </c>
      <c r="B216" s="55" t="s">
        <v>11</v>
      </c>
      <c r="C216" s="55" t="s">
        <v>55</v>
      </c>
      <c r="D216" s="55" t="s">
        <v>534</v>
      </c>
      <c r="E216" s="56">
        <v>853829.75</v>
      </c>
      <c r="F216" s="56">
        <v>846845.69</v>
      </c>
      <c r="G216" s="57">
        <v>1</v>
      </c>
      <c r="H216" s="61">
        <v>1</v>
      </c>
      <c r="I216" s="59">
        <v>45351</v>
      </c>
      <c r="J216" s="55" t="s">
        <v>66</v>
      </c>
      <c r="K216" s="55" t="s">
        <v>67</v>
      </c>
      <c r="L216" t="s">
        <v>14</v>
      </c>
    </row>
    <row r="217" spans="1:12">
      <c r="A217" s="54">
        <v>9786</v>
      </c>
      <c r="B217" s="55" t="s">
        <v>11</v>
      </c>
      <c r="C217" s="55" t="s">
        <v>25</v>
      </c>
      <c r="D217" s="55" t="s">
        <v>535</v>
      </c>
      <c r="E217" s="56">
        <v>220315.72</v>
      </c>
      <c r="F217" s="56">
        <v>219523.4</v>
      </c>
      <c r="G217" s="57">
        <v>1</v>
      </c>
      <c r="H217" s="61">
        <v>1</v>
      </c>
      <c r="I217" s="60">
        <v>45291</v>
      </c>
      <c r="J217" s="55" t="s">
        <v>482</v>
      </c>
      <c r="K217" s="55" t="s">
        <v>81</v>
      </c>
      <c r="L217" t="s">
        <v>14</v>
      </c>
    </row>
    <row r="218" spans="1:12">
      <c r="A218" s="54">
        <v>2536</v>
      </c>
      <c r="B218" s="55" t="s">
        <v>11</v>
      </c>
      <c r="C218" s="55" t="s">
        <v>38</v>
      </c>
      <c r="D218" s="55" t="s">
        <v>536</v>
      </c>
      <c r="E218" s="56">
        <v>5853379.91</v>
      </c>
      <c r="F218" s="56">
        <v>5841147.71</v>
      </c>
      <c r="G218" s="57">
        <v>1</v>
      </c>
      <c r="H218" s="61">
        <v>1</v>
      </c>
      <c r="I218" s="59">
        <v>45406</v>
      </c>
      <c r="J218" s="55" t="s">
        <v>27</v>
      </c>
      <c r="K218" s="55" t="s">
        <v>28</v>
      </c>
      <c r="L218" t="s">
        <v>14</v>
      </c>
    </row>
    <row r="219" spans="1:12">
      <c r="A219" s="54">
        <v>10990</v>
      </c>
      <c r="B219" s="55" t="s">
        <v>11</v>
      </c>
      <c r="C219" s="55" t="s">
        <v>25</v>
      </c>
      <c r="D219" s="55" t="s">
        <v>537</v>
      </c>
      <c r="E219" s="56">
        <v>581645.35</v>
      </c>
      <c r="F219" s="56">
        <v>580754.94</v>
      </c>
      <c r="G219" s="57">
        <v>1</v>
      </c>
      <c r="H219" s="61">
        <v>1</v>
      </c>
      <c r="I219" s="59">
        <v>45413</v>
      </c>
      <c r="J219" s="55" t="s">
        <v>538</v>
      </c>
      <c r="K219" s="63" t="s">
        <v>539</v>
      </c>
      <c r="L219" t="s">
        <v>14</v>
      </c>
    </row>
    <row r="220" spans="1:12">
      <c r="A220" s="54">
        <v>14031</v>
      </c>
      <c r="B220" s="55" t="s">
        <v>11</v>
      </c>
      <c r="C220" s="55" t="s">
        <v>55</v>
      </c>
      <c r="D220" s="55" t="s">
        <v>540</v>
      </c>
      <c r="E220" s="56">
        <v>395701.31</v>
      </c>
      <c r="F220" s="56">
        <v>395272.27</v>
      </c>
      <c r="G220" s="57">
        <v>1</v>
      </c>
      <c r="H220" s="61">
        <v>1</v>
      </c>
      <c r="I220" s="59">
        <v>46045</v>
      </c>
      <c r="J220" s="63" t="s">
        <v>541</v>
      </c>
      <c r="K220" s="55" t="s">
        <v>137</v>
      </c>
      <c r="L220" t="s">
        <v>14</v>
      </c>
    </row>
    <row r="221" spans="1:12">
      <c r="A221" s="54">
        <v>12381</v>
      </c>
      <c r="B221" s="55" t="s">
        <v>11</v>
      </c>
      <c r="C221" s="55" t="s">
        <v>38</v>
      </c>
      <c r="D221" s="55" t="s">
        <v>542</v>
      </c>
      <c r="E221" s="56">
        <v>13256543.11</v>
      </c>
      <c r="F221" s="56">
        <v>13253055.05</v>
      </c>
      <c r="G221" s="57">
        <v>1</v>
      </c>
      <c r="H221" s="61">
        <v>1</v>
      </c>
      <c r="I221" s="59">
        <v>45535</v>
      </c>
      <c r="J221" s="55" t="s">
        <v>543</v>
      </c>
      <c r="K221" s="55" t="s">
        <v>81</v>
      </c>
      <c r="L221" t="s">
        <v>14</v>
      </c>
    </row>
    <row r="222" spans="1:12">
      <c r="A222" s="54">
        <v>13006</v>
      </c>
      <c r="B222" s="55" t="s">
        <v>11</v>
      </c>
      <c r="C222" s="55" t="s">
        <v>186</v>
      </c>
      <c r="D222" s="55" t="s">
        <v>544</v>
      </c>
      <c r="E222" s="56">
        <v>1238810.41</v>
      </c>
      <c r="F222" s="56">
        <v>1238810.17</v>
      </c>
      <c r="G222" s="57">
        <v>1</v>
      </c>
      <c r="H222" s="61">
        <v>1</v>
      </c>
      <c r="I222" s="59">
        <v>45735</v>
      </c>
      <c r="J222" s="55" t="s">
        <v>31</v>
      </c>
      <c r="K222" s="55" t="s">
        <v>81</v>
      </c>
      <c r="L222" t="s">
        <v>14</v>
      </c>
    </row>
    <row r="223" spans="1:12">
      <c r="A223" s="54">
        <v>12455</v>
      </c>
      <c r="B223" s="55" t="s">
        <v>11</v>
      </c>
      <c r="C223" s="55" t="s">
        <v>186</v>
      </c>
      <c r="D223" s="55" t="s">
        <v>545</v>
      </c>
      <c r="E223" s="56">
        <v>826807.73</v>
      </c>
      <c r="F223" s="56">
        <v>826807.72</v>
      </c>
      <c r="G223" s="57">
        <v>1</v>
      </c>
      <c r="H223" s="61">
        <v>1</v>
      </c>
      <c r="I223" s="59">
        <v>45814</v>
      </c>
      <c r="J223" s="55" t="s">
        <v>27</v>
      </c>
      <c r="K223" s="55" t="s">
        <v>28</v>
      </c>
      <c r="L223" t="s">
        <v>14</v>
      </c>
    </row>
    <row r="224" spans="1:12">
      <c r="A224" s="54">
        <v>14350</v>
      </c>
      <c r="B224" s="55" t="s">
        <v>11</v>
      </c>
      <c r="C224" s="55" t="s">
        <v>25</v>
      </c>
      <c r="D224" s="55" t="s">
        <v>546</v>
      </c>
      <c r="E224" s="56">
        <v>406644.59</v>
      </c>
      <c r="F224" s="56">
        <v>406644.59</v>
      </c>
      <c r="G224" s="57">
        <v>1</v>
      </c>
      <c r="H224" s="61">
        <v>1</v>
      </c>
      <c r="I224" s="59">
        <v>45877</v>
      </c>
      <c r="J224" s="55" t="s">
        <v>103</v>
      </c>
      <c r="K224" s="55" t="s">
        <v>81</v>
      </c>
      <c r="L224" t="s">
        <v>14</v>
      </c>
    </row>
    <row r="225" spans="1:12">
      <c r="A225" s="54">
        <v>10817</v>
      </c>
      <c r="B225" s="55" t="s">
        <v>547</v>
      </c>
      <c r="C225" s="55" t="s">
        <v>12</v>
      </c>
      <c r="D225" s="55" t="s">
        <v>548</v>
      </c>
      <c r="E225" s="56">
        <v>13407132.8</v>
      </c>
      <c r="F225" s="56">
        <v>13407132.8</v>
      </c>
      <c r="G225" s="57">
        <v>1</v>
      </c>
      <c r="H225" s="61">
        <v>1</v>
      </c>
      <c r="I225" s="60">
        <v>45215</v>
      </c>
      <c r="J225" s="55" t="s">
        <v>549</v>
      </c>
      <c r="K225" s="55" t="s">
        <v>28</v>
      </c>
      <c r="L225" t="s">
        <v>14</v>
      </c>
    </row>
    <row r="226" spans="1:12">
      <c r="A226" s="54">
        <v>12713</v>
      </c>
      <c r="B226" s="55" t="s">
        <v>11</v>
      </c>
      <c r="C226" s="55" t="s">
        <v>18</v>
      </c>
      <c r="D226" s="55" t="s">
        <v>550</v>
      </c>
      <c r="E226" s="56">
        <v>148963.96</v>
      </c>
      <c r="F226" s="56">
        <v>148963.96</v>
      </c>
      <c r="G226" s="57">
        <v>1</v>
      </c>
      <c r="H226" s="61">
        <v>1</v>
      </c>
      <c r="I226" s="59">
        <v>45541</v>
      </c>
      <c r="J226" s="55" t="s">
        <v>551</v>
      </c>
      <c r="K226" s="55" t="s">
        <v>28</v>
      </c>
      <c r="L226" t="s">
        <v>14</v>
      </c>
    </row>
    <row r="227" spans="1:12">
      <c r="A227" s="54">
        <v>12282</v>
      </c>
      <c r="B227" s="55" t="s">
        <v>11</v>
      </c>
      <c r="C227" s="55" t="s">
        <v>25</v>
      </c>
      <c r="D227" s="55" t="s">
        <v>552</v>
      </c>
      <c r="E227" s="56">
        <v>189238.23</v>
      </c>
      <c r="F227" s="56">
        <v>189238.23</v>
      </c>
      <c r="G227" s="57">
        <v>1</v>
      </c>
      <c r="H227" s="61">
        <v>1</v>
      </c>
      <c r="I227" s="59">
        <v>45565</v>
      </c>
      <c r="J227" s="55" t="s">
        <v>551</v>
      </c>
      <c r="K227" s="55" t="s">
        <v>28</v>
      </c>
      <c r="L227" t="s">
        <v>14</v>
      </c>
    </row>
    <row r="228" spans="1:12">
      <c r="A228" s="54">
        <v>11187</v>
      </c>
      <c r="B228" s="55" t="s">
        <v>11</v>
      </c>
      <c r="C228" s="55" t="s">
        <v>173</v>
      </c>
      <c r="D228" s="55" t="s">
        <v>553</v>
      </c>
      <c r="E228" s="56">
        <v>242168.56</v>
      </c>
      <c r="F228" s="56">
        <v>242168.56</v>
      </c>
      <c r="G228" s="57">
        <v>1</v>
      </c>
      <c r="H228" s="61">
        <v>1</v>
      </c>
      <c r="I228" s="59">
        <v>45551</v>
      </c>
      <c r="J228" s="55" t="s">
        <v>554</v>
      </c>
      <c r="K228" s="55" t="s">
        <v>28</v>
      </c>
      <c r="L228" t="s">
        <v>14</v>
      </c>
    </row>
    <row r="229" spans="1:12">
      <c r="A229" s="54">
        <v>11787</v>
      </c>
      <c r="B229" s="55" t="s">
        <v>11</v>
      </c>
      <c r="C229" s="55" t="s">
        <v>83</v>
      </c>
      <c r="D229" s="55" t="s">
        <v>555</v>
      </c>
      <c r="E229" s="56">
        <v>286583.1</v>
      </c>
      <c r="F229" s="56">
        <v>286583.1</v>
      </c>
      <c r="G229" s="57">
        <v>1</v>
      </c>
      <c r="H229" s="61">
        <v>1</v>
      </c>
      <c r="I229" s="59">
        <v>45475</v>
      </c>
      <c r="J229" s="55" t="s">
        <v>474</v>
      </c>
      <c r="K229" s="55" t="s">
        <v>28</v>
      </c>
      <c r="L229" t="s">
        <v>14</v>
      </c>
    </row>
    <row r="230" spans="1:12">
      <c r="A230" s="54">
        <v>11401</v>
      </c>
      <c r="B230" s="55" t="s">
        <v>11</v>
      </c>
      <c r="C230" s="55" t="s">
        <v>83</v>
      </c>
      <c r="D230" s="55" t="s">
        <v>556</v>
      </c>
      <c r="E230" s="56">
        <v>308409.79</v>
      </c>
      <c r="F230" s="56">
        <v>308409.79</v>
      </c>
      <c r="G230" s="57">
        <v>1</v>
      </c>
      <c r="H230" s="61">
        <v>1</v>
      </c>
      <c r="I230" s="60">
        <v>45639</v>
      </c>
      <c r="J230" s="55" t="s">
        <v>462</v>
      </c>
      <c r="K230" s="55" t="s">
        <v>47</v>
      </c>
      <c r="L230" t="s">
        <v>14</v>
      </c>
    </row>
    <row r="231" spans="1:12">
      <c r="A231" s="54">
        <v>10671</v>
      </c>
      <c r="B231" s="55" t="s">
        <v>11</v>
      </c>
      <c r="C231" s="55" t="s">
        <v>173</v>
      </c>
      <c r="D231" s="55" t="s">
        <v>557</v>
      </c>
      <c r="E231" s="56">
        <v>379497.42</v>
      </c>
      <c r="F231" s="56">
        <v>379497.42</v>
      </c>
      <c r="G231" s="57">
        <v>1</v>
      </c>
      <c r="H231" s="61">
        <v>1</v>
      </c>
      <c r="I231" s="59">
        <v>45173</v>
      </c>
      <c r="J231" s="55" t="s">
        <v>558</v>
      </c>
      <c r="K231" s="55" t="s">
        <v>28</v>
      </c>
      <c r="L231" t="s">
        <v>14</v>
      </c>
    </row>
    <row r="232" spans="1:12">
      <c r="A232" s="54">
        <v>13751</v>
      </c>
      <c r="B232" s="55" t="s">
        <v>11</v>
      </c>
      <c r="C232" s="55" t="s">
        <v>18</v>
      </c>
      <c r="D232" s="55" t="s">
        <v>559</v>
      </c>
      <c r="E232" s="56">
        <v>499949.32</v>
      </c>
      <c r="F232" s="56">
        <v>499949.32</v>
      </c>
      <c r="G232" s="57">
        <v>1</v>
      </c>
      <c r="H232" s="61">
        <v>1</v>
      </c>
      <c r="I232" s="59">
        <v>45600</v>
      </c>
      <c r="J232" s="55" t="s">
        <v>40</v>
      </c>
      <c r="K232" s="55" t="s">
        <v>28</v>
      </c>
      <c r="L232" t="s">
        <v>14</v>
      </c>
    </row>
    <row r="233" spans="1:12">
      <c r="A233" s="54">
        <v>13014</v>
      </c>
      <c r="B233" s="55" t="s">
        <v>11</v>
      </c>
      <c r="C233" s="55" t="s">
        <v>186</v>
      </c>
      <c r="D233" s="55" t="s">
        <v>560</v>
      </c>
      <c r="E233" s="56">
        <v>807395.81</v>
      </c>
      <c r="F233" s="56">
        <v>807395.81</v>
      </c>
      <c r="G233" s="57">
        <v>1</v>
      </c>
      <c r="H233" s="61">
        <v>1</v>
      </c>
      <c r="I233" s="59">
        <v>45736</v>
      </c>
      <c r="J233" s="55" t="s">
        <v>561</v>
      </c>
      <c r="K233" s="55" t="s">
        <v>562</v>
      </c>
      <c r="L233" t="s">
        <v>14</v>
      </c>
    </row>
    <row r="234" spans="1:12">
      <c r="A234" s="54">
        <v>11638</v>
      </c>
      <c r="B234" s="55" t="s">
        <v>11</v>
      </c>
      <c r="C234" s="55" t="s">
        <v>18</v>
      </c>
      <c r="D234" s="55" t="s">
        <v>563</v>
      </c>
      <c r="E234" s="56">
        <v>816303.7</v>
      </c>
      <c r="F234" s="56">
        <v>816303.7</v>
      </c>
      <c r="G234" s="57">
        <v>1</v>
      </c>
      <c r="H234" s="61">
        <v>1</v>
      </c>
      <c r="I234" s="59">
        <v>45547</v>
      </c>
      <c r="J234" s="55" t="s">
        <v>14</v>
      </c>
      <c r="K234" s="55" t="s">
        <v>28</v>
      </c>
      <c r="L234" t="s">
        <v>14</v>
      </c>
    </row>
    <row r="235" spans="1:12">
      <c r="A235" s="54">
        <v>12349</v>
      </c>
      <c r="B235" s="55" t="s">
        <v>11</v>
      </c>
      <c r="C235" s="55" t="s">
        <v>186</v>
      </c>
      <c r="D235" s="55" t="s">
        <v>564</v>
      </c>
      <c r="E235" s="56">
        <v>894855.71</v>
      </c>
      <c r="F235" s="56">
        <v>894855.71</v>
      </c>
      <c r="G235" s="57">
        <v>1</v>
      </c>
      <c r="H235" s="61">
        <v>1</v>
      </c>
      <c r="I235" s="59">
        <v>45835</v>
      </c>
      <c r="J235" s="55" t="s">
        <v>565</v>
      </c>
      <c r="K235" s="55" t="s">
        <v>566</v>
      </c>
      <c r="L235" t="s">
        <v>14</v>
      </c>
    </row>
    <row r="236" spans="1:12">
      <c r="A236" s="54">
        <v>10376</v>
      </c>
      <c r="B236" s="55" t="s">
        <v>11</v>
      </c>
      <c r="C236" s="55" t="s">
        <v>173</v>
      </c>
      <c r="D236" s="55" t="s">
        <v>567</v>
      </c>
      <c r="E236" s="56">
        <v>1002522.99</v>
      </c>
      <c r="F236" s="56">
        <v>1002522.99</v>
      </c>
      <c r="G236" s="57">
        <v>1</v>
      </c>
      <c r="H236" s="61">
        <v>1</v>
      </c>
      <c r="I236" s="59">
        <v>45173</v>
      </c>
      <c r="J236" s="55" t="s">
        <v>374</v>
      </c>
      <c r="K236" s="55" t="s">
        <v>137</v>
      </c>
      <c r="L236" t="s">
        <v>14</v>
      </c>
    </row>
    <row r="237" spans="1:12">
      <c r="A237" s="54">
        <v>10572</v>
      </c>
      <c r="B237" s="55" t="s">
        <v>568</v>
      </c>
      <c r="C237" s="55" t="s">
        <v>38</v>
      </c>
      <c r="D237" s="55" t="s">
        <v>569</v>
      </c>
      <c r="E237" s="56">
        <v>1798298.04</v>
      </c>
      <c r="F237" s="56">
        <v>1798298.04</v>
      </c>
      <c r="G237" s="57">
        <v>1</v>
      </c>
      <c r="H237" s="61">
        <v>1</v>
      </c>
      <c r="I237" s="60">
        <v>45230</v>
      </c>
      <c r="J237" s="55" t="s">
        <v>551</v>
      </c>
      <c r="K237" s="55" t="s">
        <v>28</v>
      </c>
      <c r="L237" t="s">
        <v>14</v>
      </c>
    </row>
    <row r="238" spans="1:12">
      <c r="A238" s="54">
        <v>9247</v>
      </c>
      <c r="B238" s="55" t="s">
        <v>11</v>
      </c>
      <c r="C238" s="55" t="s">
        <v>83</v>
      </c>
      <c r="D238" s="55" t="s">
        <v>570</v>
      </c>
      <c r="E238" s="56">
        <v>13480478.44</v>
      </c>
      <c r="F238" s="56">
        <v>13480478.44</v>
      </c>
      <c r="G238" s="57">
        <v>1</v>
      </c>
      <c r="H238" s="61">
        <v>1</v>
      </c>
      <c r="I238" s="59">
        <v>45895</v>
      </c>
      <c r="J238" s="55" t="s">
        <v>551</v>
      </c>
      <c r="K238" s="55" t="s">
        <v>137</v>
      </c>
      <c r="L238" t="s">
        <v>14</v>
      </c>
    </row>
    <row r="239" spans="1:12">
      <c r="A239" s="54">
        <v>11603</v>
      </c>
      <c r="B239" s="55" t="s">
        <v>11</v>
      </c>
      <c r="C239" s="55" t="s">
        <v>18</v>
      </c>
      <c r="D239" s="55" t="s">
        <v>571</v>
      </c>
      <c r="E239" s="56">
        <v>459591.04</v>
      </c>
      <c r="F239" s="56">
        <v>459591.04</v>
      </c>
      <c r="G239" s="57">
        <v>1</v>
      </c>
      <c r="H239" s="61">
        <v>1</v>
      </c>
      <c r="I239" s="59">
        <v>45411</v>
      </c>
      <c r="J239" s="55" t="s">
        <v>551</v>
      </c>
      <c r="K239" s="55" t="s">
        <v>28</v>
      </c>
      <c r="L239" t="s">
        <v>14</v>
      </c>
    </row>
    <row r="240" spans="1:12">
      <c r="A240" s="54">
        <v>11572</v>
      </c>
      <c r="B240" s="55" t="s">
        <v>11</v>
      </c>
      <c r="C240" s="55" t="s">
        <v>12</v>
      </c>
      <c r="D240" s="55" t="s">
        <v>572</v>
      </c>
      <c r="E240" s="56">
        <v>512068.03</v>
      </c>
      <c r="F240" s="56">
        <v>512592.04</v>
      </c>
      <c r="G240" s="57">
        <v>1</v>
      </c>
      <c r="H240" s="61">
        <v>1</v>
      </c>
      <c r="I240" s="59">
        <v>45331</v>
      </c>
      <c r="J240" s="55" t="s">
        <v>573</v>
      </c>
      <c r="K240" s="55" t="s">
        <v>28</v>
      </c>
      <c r="L240" t="s">
        <v>14</v>
      </c>
    </row>
    <row r="241" spans="1:12">
      <c r="A241" s="54">
        <v>11932</v>
      </c>
      <c r="B241" s="55" t="s">
        <v>11</v>
      </c>
      <c r="C241" s="55" t="s">
        <v>186</v>
      </c>
      <c r="D241" s="55" t="s">
        <v>574</v>
      </c>
      <c r="E241" s="56">
        <v>419760.24</v>
      </c>
      <c r="F241" s="56">
        <v>434701.96</v>
      </c>
      <c r="G241" s="57">
        <v>1</v>
      </c>
      <c r="H241" s="61">
        <v>1</v>
      </c>
      <c r="I241" s="59">
        <v>45503</v>
      </c>
      <c r="J241" s="55" t="s">
        <v>575</v>
      </c>
      <c r="K241" s="55" t="s">
        <v>137</v>
      </c>
      <c r="L241" t="s">
        <v>14</v>
      </c>
    </row>
    <row r="242" spans="1:12">
      <c r="A242" s="54">
        <v>6151</v>
      </c>
      <c r="B242" s="55" t="s">
        <v>11</v>
      </c>
      <c r="C242" s="55" t="s">
        <v>69</v>
      </c>
      <c r="D242" s="55" t="s">
        <v>576</v>
      </c>
      <c r="E242" s="56">
        <v>1139023.31</v>
      </c>
      <c r="F242" s="56">
        <v>1127262.24</v>
      </c>
      <c r="G242" s="57">
        <f t="shared" ref="G242:G281" si="1">F242/E242</f>
        <v>0.989674425539193</v>
      </c>
      <c r="H242" s="61">
        <v>0.99</v>
      </c>
      <c r="I242" s="59">
        <v>45548</v>
      </c>
      <c r="J242" s="55" t="s">
        <v>577</v>
      </c>
      <c r="K242" s="55" t="s">
        <v>47</v>
      </c>
      <c r="L242" t="s">
        <v>578</v>
      </c>
    </row>
    <row r="243" spans="1:12">
      <c r="A243" s="54">
        <v>7722</v>
      </c>
      <c r="B243" s="55" t="s">
        <v>11</v>
      </c>
      <c r="C243" s="55" t="s">
        <v>69</v>
      </c>
      <c r="D243" s="55" t="s">
        <v>579</v>
      </c>
      <c r="E243" s="56">
        <v>1033934.61</v>
      </c>
      <c r="F243" s="56">
        <v>1027522.11</v>
      </c>
      <c r="G243" s="57">
        <f t="shared" si="1"/>
        <v>0.993797963683603</v>
      </c>
      <c r="H243" s="61">
        <v>1</v>
      </c>
      <c r="I243" s="59">
        <v>45363</v>
      </c>
      <c r="J243" s="55" t="s">
        <v>71</v>
      </c>
      <c r="K243" s="55" t="s">
        <v>67</v>
      </c>
      <c r="L243" t="s">
        <v>580</v>
      </c>
    </row>
    <row r="244" spans="1:12">
      <c r="A244" s="54">
        <v>7238</v>
      </c>
      <c r="B244" s="55" t="s">
        <v>11</v>
      </c>
      <c r="C244" s="55" t="s">
        <v>69</v>
      </c>
      <c r="D244" s="55" t="s">
        <v>581</v>
      </c>
      <c r="E244" s="56">
        <v>2092655.98</v>
      </c>
      <c r="F244" s="56">
        <v>2067899.77</v>
      </c>
      <c r="G244" s="57">
        <f t="shared" si="1"/>
        <v>0.988169957108765</v>
      </c>
      <c r="H244" s="61">
        <v>0.994</v>
      </c>
      <c r="I244" s="60">
        <v>45624</v>
      </c>
      <c r="J244" s="55" t="s">
        <v>46</v>
      </c>
      <c r="K244" s="55" t="s">
        <v>47</v>
      </c>
      <c r="L244" t="s">
        <v>582</v>
      </c>
    </row>
    <row r="245" spans="1:12">
      <c r="A245" s="54">
        <v>7607</v>
      </c>
      <c r="B245" s="55" t="s">
        <v>11</v>
      </c>
      <c r="C245" s="55" t="s">
        <v>69</v>
      </c>
      <c r="D245" s="55" t="s">
        <v>583</v>
      </c>
      <c r="E245" s="56">
        <v>977751.29</v>
      </c>
      <c r="F245" s="56">
        <v>943664.48</v>
      </c>
      <c r="G245" s="57">
        <f t="shared" si="1"/>
        <v>0.965137545356754</v>
      </c>
      <c r="H245" s="61">
        <v>0.974</v>
      </c>
      <c r="I245" s="59">
        <v>45509</v>
      </c>
      <c r="J245" s="55" t="s">
        <v>232</v>
      </c>
      <c r="K245" s="55" t="s">
        <v>24</v>
      </c>
      <c r="L245" t="s">
        <v>584</v>
      </c>
    </row>
    <row r="246" spans="1:12">
      <c r="A246" s="54">
        <v>7500</v>
      </c>
      <c r="B246" s="55" t="s">
        <v>11</v>
      </c>
      <c r="C246" s="55" t="s">
        <v>69</v>
      </c>
      <c r="D246" s="55" t="s">
        <v>585</v>
      </c>
      <c r="E246" s="56">
        <v>1457227.36</v>
      </c>
      <c r="F246" s="56">
        <v>1172251.35</v>
      </c>
      <c r="G246" s="57">
        <f t="shared" si="1"/>
        <v>0.80443956940254</v>
      </c>
      <c r="H246" s="61">
        <v>0.813</v>
      </c>
      <c r="I246" s="59">
        <v>45366</v>
      </c>
      <c r="J246" s="55" t="s">
        <v>586</v>
      </c>
      <c r="K246" s="55" t="s">
        <v>81</v>
      </c>
      <c r="L246" t="s">
        <v>587</v>
      </c>
    </row>
    <row r="247" spans="1:12">
      <c r="A247" s="54">
        <v>7723</v>
      </c>
      <c r="B247" s="55" t="s">
        <v>11</v>
      </c>
      <c r="C247" s="55" t="s">
        <v>69</v>
      </c>
      <c r="D247" s="55" t="s">
        <v>588</v>
      </c>
      <c r="E247" s="56">
        <v>855171.22</v>
      </c>
      <c r="F247" s="56">
        <v>701836.15</v>
      </c>
      <c r="G247" s="57">
        <f t="shared" si="1"/>
        <v>0.820696643649911</v>
      </c>
      <c r="H247" s="61">
        <v>0.821</v>
      </c>
      <c r="I247" s="59">
        <v>45468</v>
      </c>
      <c r="J247" s="55" t="s">
        <v>589</v>
      </c>
      <c r="K247" s="55" t="s">
        <v>47</v>
      </c>
      <c r="L247" t="s">
        <v>590</v>
      </c>
    </row>
    <row r="248" spans="1:12">
      <c r="A248" s="54">
        <v>7596</v>
      </c>
      <c r="B248" s="55" t="s">
        <v>11</v>
      </c>
      <c r="C248" s="55" t="s">
        <v>69</v>
      </c>
      <c r="D248" s="55" t="s">
        <v>591</v>
      </c>
      <c r="E248" s="56">
        <v>953370.8</v>
      </c>
      <c r="F248" s="56">
        <v>928849.08</v>
      </c>
      <c r="G248" s="57">
        <f t="shared" si="1"/>
        <v>0.974278926940074</v>
      </c>
      <c r="H248" s="61">
        <v>0.975</v>
      </c>
      <c r="I248" s="59">
        <v>45173</v>
      </c>
      <c r="J248" s="55" t="s">
        <v>66</v>
      </c>
      <c r="K248" s="55" t="s">
        <v>67</v>
      </c>
      <c r="L248" t="s">
        <v>592</v>
      </c>
    </row>
    <row r="249" spans="1:12">
      <c r="A249" s="54">
        <v>7609</v>
      </c>
      <c r="B249" s="55" t="s">
        <v>11</v>
      </c>
      <c r="C249" s="55" t="s">
        <v>69</v>
      </c>
      <c r="D249" s="55" t="s">
        <v>593</v>
      </c>
      <c r="E249" s="56">
        <v>1799802.53</v>
      </c>
      <c r="F249" s="56">
        <v>1761478.77</v>
      </c>
      <c r="G249" s="57">
        <f t="shared" si="1"/>
        <v>0.978706686227405</v>
      </c>
      <c r="H249" s="61">
        <v>0.989</v>
      </c>
      <c r="I249" s="59">
        <v>45357</v>
      </c>
      <c r="J249" s="55" t="s">
        <v>66</v>
      </c>
      <c r="K249" s="55" t="s">
        <v>67</v>
      </c>
      <c r="L249" t="s">
        <v>594</v>
      </c>
    </row>
    <row r="250" spans="1:12">
      <c r="A250" s="54">
        <v>6747</v>
      </c>
      <c r="B250" s="55" t="s">
        <v>11</v>
      </c>
      <c r="C250" s="55" t="s">
        <v>69</v>
      </c>
      <c r="D250" s="55" t="s">
        <v>595</v>
      </c>
      <c r="E250" s="56">
        <v>2091851.57</v>
      </c>
      <c r="F250" s="56">
        <v>2037433.43</v>
      </c>
      <c r="G250" s="57">
        <f t="shared" si="1"/>
        <v>0.973985659030291</v>
      </c>
      <c r="H250" s="61">
        <v>0.977</v>
      </c>
      <c r="I250" s="60">
        <v>45637</v>
      </c>
      <c r="J250" s="55" t="s">
        <v>596</v>
      </c>
      <c r="K250" s="55" t="s">
        <v>24</v>
      </c>
      <c r="L250" t="s">
        <v>597</v>
      </c>
    </row>
    <row r="251" spans="1:12">
      <c r="A251" s="54">
        <v>7786</v>
      </c>
      <c r="B251" s="55" t="s">
        <v>11</v>
      </c>
      <c r="C251" s="55" t="s">
        <v>69</v>
      </c>
      <c r="D251" s="55" t="s">
        <v>598</v>
      </c>
      <c r="E251" s="56">
        <v>1777728.47</v>
      </c>
      <c r="F251" s="56">
        <v>1658047.06</v>
      </c>
      <c r="G251" s="57">
        <f t="shared" si="1"/>
        <v>0.932677339638938</v>
      </c>
      <c r="H251" s="61">
        <v>0.936</v>
      </c>
      <c r="I251" s="59">
        <v>45818</v>
      </c>
      <c r="J251" s="55" t="s">
        <v>274</v>
      </c>
      <c r="K251" s="55" t="s">
        <v>47</v>
      </c>
      <c r="L251" t="s">
        <v>599</v>
      </c>
    </row>
    <row r="252" spans="1:12">
      <c r="A252" s="54">
        <v>7068</v>
      </c>
      <c r="B252" s="55" t="s">
        <v>11</v>
      </c>
      <c r="C252" s="55" t="s">
        <v>69</v>
      </c>
      <c r="D252" s="55" t="s">
        <v>600</v>
      </c>
      <c r="E252" s="56">
        <v>2491892.12</v>
      </c>
      <c r="F252" s="56">
        <v>2388148.29</v>
      </c>
      <c r="G252" s="57">
        <f t="shared" si="1"/>
        <v>0.958367447303457</v>
      </c>
      <c r="H252" s="61">
        <v>0.986</v>
      </c>
      <c r="I252" s="60">
        <v>45971</v>
      </c>
      <c r="J252" s="55" t="s">
        <v>274</v>
      </c>
      <c r="K252" s="55" t="s">
        <v>47</v>
      </c>
      <c r="L252" t="s">
        <v>601</v>
      </c>
    </row>
    <row r="253" spans="1:12">
      <c r="A253" s="54">
        <v>7883</v>
      </c>
      <c r="B253" s="55" t="s">
        <v>11</v>
      </c>
      <c r="C253" s="55" t="s">
        <v>69</v>
      </c>
      <c r="D253" s="55" t="s">
        <v>602</v>
      </c>
      <c r="E253" s="56">
        <v>782529.1</v>
      </c>
      <c r="F253" s="56">
        <v>766050.76</v>
      </c>
      <c r="G253" s="57">
        <f t="shared" si="1"/>
        <v>0.978942201638252</v>
      </c>
      <c r="H253" s="61">
        <v>0.974</v>
      </c>
      <c r="I253" s="59">
        <v>45482</v>
      </c>
      <c r="J253" s="55" t="s">
        <v>274</v>
      </c>
      <c r="K253" s="55" t="s">
        <v>47</v>
      </c>
      <c r="L253" t="s">
        <v>603</v>
      </c>
    </row>
    <row r="254" spans="1:12">
      <c r="A254" s="54">
        <v>6995</v>
      </c>
      <c r="B254" s="55" t="s">
        <v>11</v>
      </c>
      <c r="C254" s="55" t="s">
        <v>69</v>
      </c>
      <c r="D254" s="55" t="s">
        <v>604</v>
      </c>
      <c r="E254" s="56">
        <v>1397209.25</v>
      </c>
      <c r="F254" s="56">
        <v>1391847.07</v>
      </c>
      <c r="G254" s="57">
        <f t="shared" si="1"/>
        <v>0.99616222122778</v>
      </c>
      <c r="H254" s="61">
        <v>0.996</v>
      </c>
      <c r="I254" s="59">
        <v>45322</v>
      </c>
      <c r="J254" s="55" t="s">
        <v>274</v>
      </c>
      <c r="K254" s="55" t="s">
        <v>47</v>
      </c>
      <c r="L254" t="s">
        <v>605</v>
      </c>
    </row>
    <row r="255" spans="1:12">
      <c r="A255" s="54">
        <v>6723</v>
      </c>
      <c r="B255" s="55" t="s">
        <v>11</v>
      </c>
      <c r="C255" s="55" t="s">
        <v>69</v>
      </c>
      <c r="D255" s="55" t="s">
        <v>606</v>
      </c>
      <c r="E255" s="56">
        <v>745493.54</v>
      </c>
      <c r="F255" s="56">
        <v>653265.23</v>
      </c>
      <c r="G255" s="57">
        <f t="shared" si="1"/>
        <v>0.876285567813237</v>
      </c>
      <c r="H255" s="61">
        <v>0.875</v>
      </c>
      <c r="I255" s="59">
        <v>45453</v>
      </c>
      <c r="J255" s="55" t="s">
        <v>277</v>
      </c>
      <c r="K255" s="55" t="s">
        <v>24</v>
      </c>
      <c r="L255" t="s">
        <v>607</v>
      </c>
    </row>
    <row r="256" spans="1:12">
      <c r="A256" s="54">
        <v>4841</v>
      </c>
      <c r="B256" s="55" t="s">
        <v>11</v>
      </c>
      <c r="C256" s="55" t="s">
        <v>69</v>
      </c>
      <c r="D256" s="55" t="s">
        <v>608</v>
      </c>
      <c r="E256" s="56">
        <v>3165356.27</v>
      </c>
      <c r="F256" s="56">
        <v>3037810.4</v>
      </c>
      <c r="G256" s="57">
        <f t="shared" si="1"/>
        <v>0.959705682671859</v>
      </c>
      <c r="H256" s="61">
        <v>0.872</v>
      </c>
      <c r="I256" s="59">
        <v>44988</v>
      </c>
      <c r="J256" s="55" t="s">
        <v>609</v>
      </c>
      <c r="K256" s="55" t="s">
        <v>81</v>
      </c>
      <c r="L256" t="s">
        <v>610</v>
      </c>
    </row>
    <row r="257" spans="1:12">
      <c r="A257" s="54">
        <v>9348</v>
      </c>
      <c r="B257" s="55" t="s">
        <v>11</v>
      </c>
      <c r="C257" s="55" t="s">
        <v>151</v>
      </c>
      <c r="D257" s="55" t="s">
        <v>611</v>
      </c>
      <c r="E257" s="56">
        <v>819367.89</v>
      </c>
      <c r="F257" s="56">
        <v>819367.89</v>
      </c>
      <c r="G257" s="57">
        <f t="shared" si="1"/>
        <v>1</v>
      </c>
      <c r="H257" s="61">
        <v>1</v>
      </c>
      <c r="I257" s="59">
        <v>45077</v>
      </c>
      <c r="J257" s="55" t="s">
        <v>133</v>
      </c>
      <c r="K257" s="55" t="s">
        <v>81</v>
      </c>
      <c r="L257" t="s">
        <v>612</v>
      </c>
    </row>
    <row r="258" spans="1:12">
      <c r="A258" s="54">
        <v>7451</v>
      </c>
      <c r="B258" s="55" t="s">
        <v>11</v>
      </c>
      <c r="C258" s="55" t="s">
        <v>69</v>
      </c>
      <c r="D258" s="55" t="s">
        <v>613</v>
      </c>
      <c r="E258" s="56">
        <v>991831.39</v>
      </c>
      <c r="F258" s="56">
        <v>986201.47</v>
      </c>
      <c r="G258" s="57">
        <f t="shared" si="1"/>
        <v>0.994323712622162</v>
      </c>
      <c r="H258" s="61">
        <v>0.994</v>
      </c>
      <c r="I258" s="59">
        <v>45072</v>
      </c>
      <c r="J258" s="55" t="s">
        <v>105</v>
      </c>
      <c r="K258" s="55" t="s">
        <v>81</v>
      </c>
      <c r="L258" t="s">
        <v>614</v>
      </c>
    </row>
    <row r="259" spans="1:12">
      <c r="A259" s="54">
        <v>9324</v>
      </c>
      <c r="B259" s="55" t="s">
        <v>11</v>
      </c>
      <c r="C259" s="55" t="s">
        <v>69</v>
      </c>
      <c r="D259" s="55" t="s">
        <v>615</v>
      </c>
      <c r="E259" s="56">
        <v>1849179.47</v>
      </c>
      <c r="F259" s="56">
        <v>1541254.57</v>
      </c>
      <c r="G259" s="57">
        <f t="shared" si="1"/>
        <v>0.833480251649127</v>
      </c>
      <c r="H259" s="61">
        <v>0.849</v>
      </c>
      <c r="I259" s="59">
        <v>45800</v>
      </c>
      <c r="J259" s="55" t="s">
        <v>616</v>
      </c>
      <c r="K259" s="55" t="s">
        <v>67</v>
      </c>
      <c r="L259" t="s">
        <v>617</v>
      </c>
    </row>
    <row r="260" spans="1:12">
      <c r="A260" s="54">
        <v>7127</v>
      </c>
      <c r="B260" s="55" t="s">
        <v>11</v>
      </c>
      <c r="C260" s="55" t="s">
        <v>69</v>
      </c>
      <c r="D260" s="55" t="s">
        <v>618</v>
      </c>
      <c r="E260" s="56">
        <v>812163.54</v>
      </c>
      <c r="F260" s="56">
        <v>800619.04</v>
      </c>
      <c r="G260" s="57">
        <f t="shared" si="1"/>
        <v>0.985785498324635</v>
      </c>
      <c r="H260" s="61">
        <v>0.986</v>
      </c>
      <c r="I260" s="59">
        <v>45473</v>
      </c>
      <c r="J260" s="55" t="s">
        <v>619</v>
      </c>
      <c r="K260" s="55" t="s">
        <v>47</v>
      </c>
      <c r="L260" t="s">
        <v>620</v>
      </c>
    </row>
    <row r="261" spans="1:12">
      <c r="A261" s="54">
        <v>7126</v>
      </c>
      <c r="B261" s="55" t="s">
        <v>11</v>
      </c>
      <c r="C261" s="55" t="s">
        <v>69</v>
      </c>
      <c r="D261" s="55" t="s">
        <v>621</v>
      </c>
      <c r="E261" s="56">
        <v>261398.75</v>
      </c>
      <c r="F261" s="56">
        <v>253517.62</v>
      </c>
      <c r="G261" s="57">
        <f t="shared" si="1"/>
        <v>0.969850161869558</v>
      </c>
      <c r="H261" s="61">
        <v>0.97</v>
      </c>
      <c r="I261" s="59">
        <v>45261</v>
      </c>
      <c r="J261" s="55" t="s">
        <v>85</v>
      </c>
      <c r="K261" s="55" t="s">
        <v>47</v>
      </c>
      <c r="L261" t="s">
        <v>622</v>
      </c>
    </row>
    <row r="262" spans="1:12">
      <c r="A262" s="54">
        <v>6720</v>
      </c>
      <c r="B262" s="55" t="s">
        <v>11</v>
      </c>
      <c r="C262" s="55" t="s">
        <v>69</v>
      </c>
      <c r="D262" s="55" t="s">
        <v>623</v>
      </c>
      <c r="E262" s="56">
        <v>352558.3</v>
      </c>
      <c r="F262" s="56">
        <v>314278.33</v>
      </c>
      <c r="G262" s="57">
        <f t="shared" si="1"/>
        <v>0.89142229809935</v>
      </c>
      <c r="H262" s="61">
        <v>0.811</v>
      </c>
      <c r="I262" s="60">
        <v>45241</v>
      </c>
      <c r="J262" s="55" t="s">
        <v>74</v>
      </c>
      <c r="K262" s="55" t="s">
        <v>24</v>
      </c>
      <c r="L262" t="s">
        <v>624</v>
      </c>
    </row>
    <row r="263" spans="1:12">
      <c r="A263" s="54">
        <v>7634</v>
      </c>
      <c r="B263" s="55" t="s">
        <v>11</v>
      </c>
      <c r="C263" s="55" t="s">
        <v>69</v>
      </c>
      <c r="D263" s="55" t="s">
        <v>625</v>
      </c>
      <c r="E263" s="56">
        <v>1361814.85</v>
      </c>
      <c r="F263" s="56">
        <v>1331902.14</v>
      </c>
      <c r="G263" s="57">
        <f t="shared" si="1"/>
        <v>0.978034671893907</v>
      </c>
      <c r="H263" s="61">
        <v>0.978</v>
      </c>
      <c r="I263" s="60">
        <v>45624</v>
      </c>
      <c r="J263" s="55" t="s">
        <v>74</v>
      </c>
      <c r="K263" s="55" t="s">
        <v>24</v>
      </c>
      <c r="L263" t="s">
        <v>626</v>
      </c>
    </row>
    <row r="264" spans="1:12">
      <c r="A264" s="54">
        <v>7112</v>
      </c>
      <c r="B264" s="55" t="s">
        <v>11</v>
      </c>
      <c r="C264" s="55" t="s">
        <v>69</v>
      </c>
      <c r="D264" s="55" t="s">
        <v>627</v>
      </c>
      <c r="E264" s="56">
        <v>1657241.69</v>
      </c>
      <c r="F264" s="56">
        <v>1633105.07</v>
      </c>
      <c r="G264" s="57">
        <f t="shared" si="1"/>
        <v>0.985435666900221</v>
      </c>
      <c r="H264" s="61">
        <v>0.991</v>
      </c>
      <c r="I264" s="59">
        <v>45516</v>
      </c>
      <c r="J264" s="55" t="s">
        <v>336</v>
      </c>
      <c r="K264" s="55" t="s">
        <v>36</v>
      </c>
      <c r="L264" t="s">
        <v>628</v>
      </c>
    </row>
    <row r="265" spans="1:12">
      <c r="A265" s="54">
        <v>11260</v>
      </c>
      <c r="B265" s="55" t="s">
        <v>11</v>
      </c>
      <c r="C265" s="55" t="s">
        <v>69</v>
      </c>
      <c r="D265" s="55" t="s">
        <v>629</v>
      </c>
      <c r="E265" s="56">
        <v>1316988.45</v>
      </c>
      <c r="F265" s="56">
        <v>1311974.65</v>
      </c>
      <c r="G265" s="57">
        <f t="shared" si="1"/>
        <v>0.996192981039431</v>
      </c>
      <c r="H265" s="61">
        <v>0.996</v>
      </c>
      <c r="I265" s="59">
        <v>45714</v>
      </c>
      <c r="J265" s="55" t="s">
        <v>630</v>
      </c>
      <c r="K265" s="55" t="s">
        <v>36</v>
      </c>
      <c r="L265" t="s">
        <v>631</v>
      </c>
    </row>
    <row r="266" spans="1:12">
      <c r="A266" s="54">
        <v>6794</v>
      </c>
      <c r="B266" s="55" t="s">
        <v>11</v>
      </c>
      <c r="C266" s="55" t="s">
        <v>69</v>
      </c>
      <c r="D266" s="55" t="s">
        <v>632</v>
      </c>
      <c r="E266" s="56">
        <v>3308321.27</v>
      </c>
      <c r="F266" s="56">
        <v>779769.27</v>
      </c>
      <c r="G266" s="57">
        <f t="shared" si="1"/>
        <v>0.235699379341112</v>
      </c>
      <c r="H266" s="61">
        <v>1</v>
      </c>
      <c r="I266" s="59">
        <v>45268</v>
      </c>
      <c r="J266" s="55" t="s">
        <v>633</v>
      </c>
      <c r="K266" s="55" t="s">
        <v>47</v>
      </c>
      <c r="L266" t="s">
        <v>634</v>
      </c>
    </row>
    <row r="267" spans="1:12">
      <c r="A267" s="54">
        <v>8173</v>
      </c>
      <c r="B267" s="55" t="s">
        <v>11</v>
      </c>
      <c r="C267" s="55" t="s">
        <v>69</v>
      </c>
      <c r="D267" s="55" t="s">
        <v>635</v>
      </c>
      <c r="E267" s="56">
        <v>347086.6</v>
      </c>
      <c r="F267" s="56">
        <v>290404.14</v>
      </c>
      <c r="G267" s="57">
        <f t="shared" si="1"/>
        <v>0.836690727904794</v>
      </c>
      <c r="H267" s="61">
        <v>0.971</v>
      </c>
      <c r="I267" s="59">
        <v>44946</v>
      </c>
      <c r="J267" s="55" t="s">
        <v>636</v>
      </c>
      <c r="K267" s="55" t="s">
        <v>24</v>
      </c>
      <c r="L267" t="s">
        <v>637</v>
      </c>
    </row>
    <row r="268" spans="1:12">
      <c r="A268" s="54">
        <v>6773</v>
      </c>
      <c r="B268" s="55" t="s">
        <v>11</v>
      </c>
      <c r="C268" s="55" t="s">
        <v>69</v>
      </c>
      <c r="D268" s="55" t="s">
        <v>638</v>
      </c>
      <c r="E268" s="56">
        <v>1305792.7</v>
      </c>
      <c r="F268" s="56">
        <v>1304601.61</v>
      </c>
      <c r="G268" s="57">
        <f t="shared" si="1"/>
        <v>0.999087841431492</v>
      </c>
      <c r="H268" s="61">
        <v>1</v>
      </c>
      <c r="I268" s="59">
        <v>44950</v>
      </c>
      <c r="J268" s="55" t="s">
        <v>636</v>
      </c>
      <c r="K268" s="55" t="s">
        <v>24</v>
      </c>
      <c r="L268" t="s">
        <v>639</v>
      </c>
    </row>
    <row r="269" spans="1:12">
      <c r="A269" s="54">
        <v>7622</v>
      </c>
      <c r="B269" s="55" t="s">
        <v>11</v>
      </c>
      <c r="C269" s="55" t="s">
        <v>69</v>
      </c>
      <c r="D269" s="55" t="s">
        <v>640</v>
      </c>
      <c r="E269" s="56">
        <v>1004354.93</v>
      </c>
      <c r="F269" s="56">
        <v>879228.54</v>
      </c>
      <c r="G269" s="57">
        <f t="shared" si="1"/>
        <v>0.875416163885411</v>
      </c>
      <c r="H269" s="61">
        <v>0.878</v>
      </c>
      <c r="I269" s="59">
        <v>45533</v>
      </c>
      <c r="J269" s="55" t="s">
        <v>356</v>
      </c>
      <c r="K269" s="55" t="s">
        <v>67</v>
      </c>
      <c r="L269" t="s">
        <v>641</v>
      </c>
    </row>
    <row r="270" spans="1:12">
      <c r="A270" s="54">
        <v>11342</v>
      </c>
      <c r="B270" s="55" t="s">
        <v>11</v>
      </c>
      <c r="C270" s="55" t="s">
        <v>69</v>
      </c>
      <c r="D270" s="55" t="s">
        <v>642</v>
      </c>
      <c r="E270" s="56">
        <v>78785.14</v>
      </c>
      <c r="F270" s="56">
        <v>72145.02</v>
      </c>
      <c r="G270" s="57">
        <f t="shared" si="1"/>
        <v>0.915718624095864</v>
      </c>
      <c r="H270" s="61">
        <v>0.916</v>
      </c>
      <c r="I270" s="60">
        <v>45617</v>
      </c>
      <c r="J270" s="55" t="s">
        <v>356</v>
      </c>
      <c r="K270" s="55" t="s">
        <v>67</v>
      </c>
      <c r="L270" t="s">
        <v>643</v>
      </c>
    </row>
    <row r="271" spans="1:12">
      <c r="A271" s="54">
        <v>7624</v>
      </c>
      <c r="B271" s="55" t="s">
        <v>11</v>
      </c>
      <c r="C271" s="55" t="s">
        <v>69</v>
      </c>
      <c r="D271" s="55" t="s">
        <v>644</v>
      </c>
      <c r="E271" s="56">
        <v>1800793.59</v>
      </c>
      <c r="F271" s="56">
        <v>1755164.98</v>
      </c>
      <c r="G271" s="57">
        <f t="shared" si="1"/>
        <v>0.974661943349099</v>
      </c>
      <c r="H271" s="61">
        <v>0.999</v>
      </c>
      <c r="I271" s="60">
        <v>45623</v>
      </c>
      <c r="J271" s="55" t="s">
        <v>356</v>
      </c>
      <c r="K271" s="55" t="s">
        <v>67</v>
      </c>
      <c r="L271" t="s">
        <v>645</v>
      </c>
    </row>
    <row r="272" spans="1:12">
      <c r="A272" s="54">
        <v>11514</v>
      </c>
      <c r="B272" s="55" t="s">
        <v>11</v>
      </c>
      <c r="C272" s="55" t="s">
        <v>69</v>
      </c>
      <c r="D272" s="55" t="s">
        <v>646</v>
      </c>
      <c r="E272" s="56">
        <v>108054.92</v>
      </c>
      <c r="F272" s="56">
        <v>108054.92</v>
      </c>
      <c r="G272" s="57">
        <f t="shared" si="1"/>
        <v>1</v>
      </c>
      <c r="H272" s="61">
        <v>1</v>
      </c>
      <c r="I272" s="60">
        <v>45251</v>
      </c>
      <c r="J272" s="55" t="s">
        <v>356</v>
      </c>
      <c r="K272" s="55" t="s">
        <v>67</v>
      </c>
      <c r="L272" t="s">
        <v>647</v>
      </c>
    </row>
    <row r="273" spans="1:12">
      <c r="A273" s="54">
        <v>6796</v>
      </c>
      <c r="B273" s="55" t="s">
        <v>11</v>
      </c>
      <c r="C273" s="55" t="s">
        <v>69</v>
      </c>
      <c r="D273" s="55" t="s">
        <v>648</v>
      </c>
      <c r="E273" s="56">
        <v>1004282.06</v>
      </c>
      <c r="F273" s="56">
        <v>901713.67</v>
      </c>
      <c r="G273" s="57">
        <f t="shared" si="1"/>
        <v>0.897868941321126</v>
      </c>
      <c r="H273" s="61">
        <v>0.919</v>
      </c>
      <c r="I273" s="59">
        <v>45534</v>
      </c>
      <c r="J273" s="55" t="s">
        <v>50</v>
      </c>
      <c r="K273" s="55" t="s">
        <v>47</v>
      </c>
      <c r="L273" t="s">
        <v>649</v>
      </c>
    </row>
    <row r="274" spans="1:12">
      <c r="A274" s="54">
        <v>6797</v>
      </c>
      <c r="B274" s="55" t="s">
        <v>11</v>
      </c>
      <c r="C274" s="55" t="s">
        <v>69</v>
      </c>
      <c r="D274" s="55" t="s">
        <v>650</v>
      </c>
      <c r="E274" s="56">
        <v>208178.06</v>
      </c>
      <c r="F274" s="56">
        <v>208178.06</v>
      </c>
      <c r="G274" s="57">
        <f t="shared" si="1"/>
        <v>1</v>
      </c>
      <c r="H274" s="61">
        <v>1</v>
      </c>
      <c r="I274" s="59">
        <v>45132</v>
      </c>
      <c r="J274" s="55" t="s">
        <v>651</v>
      </c>
      <c r="K274" s="55" t="s">
        <v>652</v>
      </c>
      <c r="L274" t="s">
        <v>14</v>
      </c>
    </row>
    <row r="275" spans="1:12">
      <c r="A275" s="54">
        <v>7221</v>
      </c>
      <c r="B275" s="55" t="s">
        <v>11</v>
      </c>
      <c r="C275" s="55" t="s">
        <v>69</v>
      </c>
      <c r="D275" s="55" t="s">
        <v>653</v>
      </c>
      <c r="E275" s="56">
        <v>1257397.16</v>
      </c>
      <c r="F275" s="56">
        <v>1173416.93</v>
      </c>
      <c r="G275" s="57">
        <f t="shared" si="1"/>
        <v>0.933211054811035</v>
      </c>
      <c r="H275" s="61">
        <v>0.935</v>
      </c>
      <c r="I275" s="59">
        <v>45208</v>
      </c>
      <c r="J275" s="55" t="s">
        <v>393</v>
      </c>
      <c r="K275" s="55" t="s">
        <v>67</v>
      </c>
      <c r="L275" t="s">
        <v>654</v>
      </c>
    </row>
    <row r="276" spans="1:12">
      <c r="A276" s="54">
        <v>7058</v>
      </c>
      <c r="B276" s="55" t="s">
        <v>11</v>
      </c>
      <c r="C276" s="55" t="s">
        <v>69</v>
      </c>
      <c r="D276" s="55" t="s">
        <v>655</v>
      </c>
      <c r="E276" s="56">
        <v>507567.18</v>
      </c>
      <c r="F276" s="56">
        <v>482623.89</v>
      </c>
      <c r="G276" s="57">
        <f t="shared" si="1"/>
        <v>0.950857165350999</v>
      </c>
      <c r="H276" s="61">
        <v>0.994</v>
      </c>
      <c r="I276" s="59">
        <v>45159</v>
      </c>
      <c r="J276" s="55" t="s">
        <v>393</v>
      </c>
      <c r="K276" s="55" t="s">
        <v>67</v>
      </c>
      <c r="L276" t="s">
        <v>656</v>
      </c>
    </row>
    <row r="277" spans="1:12">
      <c r="A277" s="54">
        <v>11367</v>
      </c>
      <c r="B277" s="55" t="s">
        <v>11</v>
      </c>
      <c r="C277" s="55" t="s">
        <v>69</v>
      </c>
      <c r="D277" s="55" t="s">
        <v>657</v>
      </c>
      <c r="E277" s="56">
        <v>292181.99</v>
      </c>
      <c r="F277" s="56">
        <v>301534.3</v>
      </c>
      <c r="G277" s="57">
        <f t="shared" si="1"/>
        <v>1.03200850949095</v>
      </c>
      <c r="H277" s="61">
        <v>1</v>
      </c>
      <c r="I277" s="59">
        <v>45572</v>
      </c>
      <c r="J277" s="55" t="s">
        <v>393</v>
      </c>
      <c r="K277" s="55" t="s">
        <v>67</v>
      </c>
      <c r="L277" t="s">
        <v>658</v>
      </c>
    </row>
    <row r="278" spans="1:12">
      <c r="A278" s="54">
        <v>6852</v>
      </c>
      <c r="B278" s="55" t="s">
        <v>11</v>
      </c>
      <c r="C278" s="55" t="s">
        <v>69</v>
      </c>
      <c r="D278" s="55" t="s">
        <v>659</v>
      </c>
      <c r="E278" s="56">
        <v>622576.02</v>
      </c>
      <c r="F278" s="56">
        <v>743533.95</v>
      </c>
      <c r="G278" s="57">
        <f t="shared" si="1"/>
        <v>1.1942862013863</v>
      </c>
      <c r="H278" s="61">
        <v>0.919</v>
      </c>
      <c r="I278" s="59">
        <v>45196</v>
      </c>
      <c r="J278" s="55" t="s">
        <v>543</v>
      </c>
      <c r="K278" s="55" t="s">
        <v>81</v>
      </c>
      <c r="L278" t="s">
        <v>660</v>
      </c>
    </row>
    <row r="279" spans="1:12">
      <c r="A279" s="54">
        <v>11369</v>
      </c>
      <c r="B279" s="55" t="s">
        <v>11</v>
      </c>
      <c r="C279" s="55" t="s">
        <v>69</v>
      </c>
      <c r="D279" s="55" t="s">
        <v>661</v>
      </c>
      <c r="E279" s="56">
        <v>693590.53</v>
      </c>
      <c r="F279" s="56">
        <v>698997.94</v>
      </c>
      <c r="G279" s="57">
        <f t="shared" si="1"/>
        <v>1.00779625696447</v>
      </c>
      <c r="H279" s="61">
        <v>0.998</v>
      </c>
      <c r="I279" s="59">
        <v>45913</v>
      </c>
      <c r="J279" s="55" t="s">
        <v>35</v>
      </c>
      <c r="K279" s="55" t="s">
        <v>36</v>
      </c>
      <c r="L279" t="s">
        <v>662</v>
      </c>
    </row>
    <row r="280" spans="1:12">
      <c r="A280" s="54">
        <v>6873</v>
      </c>
      <c r="B280" s="55" t="s">
        <v>663</v>
      </c>
      <c r="C280" s="55" t="s">
        <v>69</v>
      </c>
      <c r="D280" s="55" t="s">
        <v>664</v>
      </c>
      <c r="E280" s="56">
        <v>1036339.56</v>
      </c>
      <c r="F280" s="56">
        <v>976622</v>
      </c>
      <c r="G280" s="57">
        <f t="shared" si="1"/>
        <v>0.942376454296505</v>
      </c>
      <c r="H280" s="61">
        <v>0.958</v>
      </c>
      <c r="I280" s="59">
        <v>45422</v>
      </c>
      <c r="J280" s="55" t="s">
        <v>474</v>
      </c>
      <c r="K280" s="55" t="s">
        <v>28</v>
      </c>
      <c r="L280" t="s">
        <v>665</v>
      </c>
    </row>
    <row r="281" spans="1:12">
      <c r="A281" s="54">
        <v>7498</v>
      </c>
      <c r="B281" s="55" t="s">
        <v>11</v>
      </c>
      <c r="C281" s="55" t="s">
        <v>69</v>
      </c>
      <c r="D281" s="55" t="s">
        <v>666</v>
      </c>
      <c r="E281" s="56">
        <v>613952.95</v>
      </c>
      <c r="F281" s="56">
        <v>613171.41</v>
      </c>
      <c r="G281" s="57">
        <f t="shared" si="1"/>
        <v>0.998727036004958</v>
      </c>
      <c r="H281" s="61">
        <v>0.999</v>
      </c>
      <c r="I281" s="59">
        <v>44976</v>
      </c>
      <c r="J281" s="55" t="s">
        <v>179</v>
      </c>
      <c r="K281" s="55" t="s">
        <v>28</v>
      </c>
      <c r="L281" t="s">
        <v>667</v>
      </c>
    </row>
  </sheetData>
  <autoFilter xmlns:etc="http://www.wps.cn/officeDocument/2017/etCustomData" ref="A1:K281" etc:filterBottomFollowUsedRange="0">
    <extLst/>
  </autoFilter>
  <pageMargins left="0.511811024" right="0.511811024" top="0.787401575" bottom="0.787401575" header="0.31496062" footer="0.31496062"/>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1"/>
  <sheetViews>
    <sheetView workbookViewId="0">
      <selection activeCell="L1" sqref="L1"/>
    </sheetView>
  </sheetViews>
  <sheetFormatPr defaultColWidth="9" defaultRowHeight="15"/>
  <cols>
    <col min="2" max="2" width="16.2857142857143" customWidth="1"/>
    <col min="3" max="3" width="20" customWidth="1"/>
    <col min="5" max="5" width="48.4285714285714" customWidth="1"/>
    <col min="6" max="6" width="10.8571428571429" customWidth="1"/>
    <col min="7" max="8" width="17.8571428571429" customWidth="1"/>
    <col min="10" max="10" width="10.7142857142857" customWidth="1"/>
    <col min="11" max="11" width="18.5714285714286" customWidth="1"/>
    <col min="12" max="12" width="25.7142857142857" customWidth="1"/>
  </cols>
  <sheetData>
    <row r="1" s="36" customFormat="1" spans="1:12">
      <c r="A1" s="37" t="s">
        <v>0</v>
      </c>
      <c r="B1" s="37" t="s">
        <v>1</v>
      </c>
      <c r="C1" s="37" t="s">
        <v>668</v>
      </c>
      <c r="D1" s="37" t="s">
        <v>2</v>
      </c>
      <c r="E1" s="37" t="s">
        <v>3</v>
      </c>
      <c r="F1" s="37" t="s">
        <v>669</v>
      </c>
      <c r="G1" s="38" t="s">
        <v>4</v>
      </c>
      <c r="H1" s="38" t="s">
        <v>5</v>
      </c>
      <c r="I1" s="37" t="s">
        <v>6</v>
      </c>
      <c r="J1" s="37" t="s">
        <v>7</v>
      </c>
      <c r="K1" s="2" t="s">
        <v>9</v>
      </c>
      <c r="L1" s="2" t="s">
        <v>10</v>
      </c>
    </row>
    <row r="2" spans="1:12">
      <c r="A2" s="4">
        <v>14756</v>
      </c>
      <c r="B2" s="3" t="s">
        <v>11</v>
      </c>
      <c r="C2" s="3" t="s">
        <v>670</v>
      </c>
      <c r="D2" s="3" t="s">
        <v>21</v>
      </c>
      <c r="E2" s="3" t="s">
        <v>671</v>
      </c>
      <c r="F2" s="39">
        <v>46010</v>
      </c>
      <c r="G2" s="40">
        <v>1008764.1</v>
      </c>
      <c r="H2" s="40">
        <v>696187.55</v>
      </c>
      <c r="I2" s="41">
        <f t="shared" ref="I2:I61" si="0">H2/G2</f>
        <v>0.690139101897064</v>
      </c>
      <c r="J2" s="42">
        <v>0.682600021362305</v>
      </c>
      <c r="K2" s="5" t="str">
        <f>VLOOKUP(A2,'[1]bairros (execu)'!A:O,14,0)</f>
        <v>ANGELIM</v>
      </c>
      <c r="L2" s="5" t="str">
        <f>VLOOKUP(A2,'[1]bairros (execu)'!A:O,15,0)</f>
        <v>ZONA SUL</v>
      </c>
    </row>
    <row r="3" spans="1:12">
      <c r="A3" s="4">
        <v>15477</v>
      </c>
      <c r="B3" s="3" t="s">
        <v>11</v>
      </c>
      <c r="C3" s="3" t="s">
        <v>670</v>
      </c>
      <c r="D3" s="3" t="s">
        <v>222</v>
      </c>
      <c r="E3" s="3" t="s">
        <v>672</v>
      </c>
      <c r="F3" s="43">
        <v>46030</v>
      </c>
      <c r="G3" s="40">
        <v>598000</v>
      </c>
      <c r="H3" s="44">
        <v>0</v>
      </c>
      <c r="I3" s="41">
        <f t="shared" si="0"/>
        <v>0</v>
      </c>
      <c r="J3" s="42">
        <v>0.150699996948242</v>
      </c>
      <c r="K3" s="5" t="str">
        <f>VLOOKUP(A3,'[1]bairros (execu)'!A:O,14,0)</f>
        <v>BUENOS AIRES</v>
      </c>
      <c r="L3" s="5" t="str">
        <f>VLOOKUP(A3,'[1]bairros (execu)'!A:O,15,0)</f>
        <v>ZONA NORTE</v>
      </c>
    </row>
    <row r="4" spans="1:12">
      <c r="A4" s="4">
        <v>13904</v>
      </c>
      <c r="B4" s="3" t="s">
        <v>11</v>
      </c>
      <c r="C4" s="3" t="s">
        <v>670</v>
      </c>
      <c r="D4" s="3" t="s">
        <v>222</v>
      </c>
      <c r="E4" s="3" t="s">
        <v>673</v>
      </c>
      <c r="F4" s="43">
        <v>45495</v>
      </c>
      <c r="G4" s="40">
        <v>208756.03</v>
      </c>
      <c r="H4" s="44">
        <v>0</v>
      </c>
      <c r="I4" s="41">
        <f t="shared" si="0"/>
        <v>0</v>
      </c>
      <c r="J4" s="42">
        <v>0.343400001525879</v>
      </c>
      <c r="K4" s="5" t="str">
        <f>VLOOKUP(A4,'[1]bairros (execu)'!A:O,14,0)</f>
        <v>ESPLANADA</v>
      </c>
      <c r="L4" s="5" t="str">
        <f>VLOOKUP(A4,'[1]bairros (execu)'!A:O,15,0)</f>
        <v>ZONA SUL</v>
      </c>
    </row>
    <row r="5" spans="1:12">
      <c r="A5" s="4">
        <v>14457</v>
      </c>
      <c r="B5" s="3" t="s">
        <v>674</v>
      </c>
      <c r="C5" s="3" t="s">
        <v>675</v>
      </c>
      <c r="D5" s="3" t="s">
        <v>16</v>
      </c>
      <c r="E5" s="3" t="s">
        <v>676</v>
      </c>
      <c r="F5" s="43">
        <v>45803</v>
      </c>
      <c r="G5" s="40">
        <v>1240000</v>
      </c>
      <c r="H5" s="44">
        <v>0</v>
      </c>
      <c r="I5" s="41">
        <f t="shared" si="0"/>
        <v>0</v>
      </c>
      <c r="J5" s="42">
        <v>0.00800000011920929</v>
      </c>
      <c r="K5" s="5" t="s">
        <v>677</v>
      </c>
      <c r="L5" s="5" t="s">
        <v>678</v>
      </c>
    </row>
    <row r="6" spans="1:12">
      <c r="A6" s="4">
        <v>12544</v>
      </c>
      <c r="B6" s="3" t="s">
        <v>11</v>
      </c>
      <c r="C6" s="3" t="s">
        <v>670</v>
      </c>
      <c r="D6" s="3" t="s">
        <v>55</v>
      </c>
      <c r="E6" s="3" t="s">
        <v>679</v>
      </c>
      <c r="F6" s="43">
        <v>45345</v>
      </c>
      <c r="G6" s="40">
        <v>102793.62</v>
      </c>
      <c r="H6" s="40">
        <v>79479.51</v>
      </c>
      <c r="I6" s="41">
        <f t="shared" si="0"/>
        <v>0.77319497066063</v>
      </c>
      <c r="J6" s="42">
        <v>1</v>
      </c>
      <c r="K6" s="5" t="str">
        <f>VLOOKUP(A6,'[1]bairros (execu)'!A:O,14,0)</f>
        <v>VALE QUEM TEM </v>
      </c>
      <c r="L6" s="5" t="str">
        <f>VLOOKUP(A6,'[1]bairros (execu)'!A:O,15,0)</f>
        <v>ZONA LESTE</v>
      </c>
    </row>
    <row r="7" spans="1:12">
      <c r="A7" s="4">
        <v>15034</v>
      </c>
      <c r="B7" s="3" t="s">
        <v>11</v>
      </c>
      <c r="C7" s="3" t="s">
        <v>670</v>
      </c>
      <c r="D7" s="3" t="s">
        <v>55</v>
      </c>
      <c r="E7" s="3" t="s">
        <v>680</v>
      </c>
      <c r="F7" s="43">
        <v>45967</v>
      </c>
      <c r="G7" s="40">
        <v>2075738.98</v>
      </c>
      <c r="H7" s="40">
        <v>100094.61</v>
      </c>
      <c r="I7" s="41">
        <f t="shared" si="0"/>
        <v>0.0482211930133913</v>
      </c>
      <c r="J7" s="42">
        <v>0.0488000011444092</v>
      </c>
      <c r="K7" s="5" t="str">
        <f>VLOOKUP(A7,'[1]bairros (execu)'!A:O,14,0)</f>
        <v>VALE QUEM TEM, PARQUE PIAUI, ÁRVORES, ESPLANADA</v>
      </c>
      <c r="L7" s="5" t="str">
        <f>VLOOKUP(A7,'[1]bairros (execu)'!A:O,15,0)</f>
        <v>ZONA LESTE, ZONA SUL, </v>
      </c>
    </row>
    <row r="8" spans="1:12">
      <c r="A8" s="4">
        <v>15765</v>
      </c>
      <c r="B8" s="3" t="s">
        <v>11</v>
      </c>
      <c r="C8" s="3" t="s">
        <v>670</v>
      </c>
      <c r="D8" s="3" t="s">
        <v>25</v>
      </c>
      <c r="E8" s="3" t="s">
        <v>681</v>
      </c>
      <c r="F8" s="39">
        <v>46002</v>
      </c>
      <c r="G8" s="40">
        <v>400129.81</v>
      </c>
      <c r="H8" s="44">
        <v>102180.56</v>
      </c>
      <c r="I8" s="41">
        <f t="shared" si="0"/>
        <v>0.255368526528928</v>
      </c>
      <c r="J8" s="42">
        <v>0.410400009155273</v>
      </c>
      <c r="K8" s="5" t="s">
        <v>143</v>
      </c>
      <c r="L8" s="5" t="s">
        <v>67</v>
      </c>
    </row>
    <row r="9" spans="1:12">
      <c r="A9" s="4">
        <v>15079</v>
      </c>
      <c r="B9" s="3" t="s">
        <v>11</v>
      </c>
      <c r="C9" s="3" t="s">
        <v>670</v>
      </c>
      <c r="D9" s="3" t="s">
        <v>438</v>
      </c>
      <c r="E9" s="3" t="s">
        <v>682</v>
      </c>
      <c r="F9" s="43">
        <v>45992</v>
      </c>
      <c r="G9" s="40">
        <v>413719.61</v>
      </c>
      <c r="H9" s="40">
        <v>125561.55</v>
      </c>
      <c r="I9" s="41">
        <f t="shared" si="0"/>
        <v>0.30349431587253</v>
      </c>
      <c r="J9" s="42">
        <v>0.610499992370606</v>
      </c>
      <c r="K9" s="5" t="str">
        <f>VLOOKUP(A9,'[1]bairros (execu)'!A:O,14,0)</f>
        <v>CENTRO</v>
      </c>
      <c r="L9" s="5" t="str">
        <f>VLOOKUP(A9,'[1]bairros (execu)'!A:O,15,0)</f>
        <v>ZONA CENTRO</v>
      </c>
    </row>
    <row r="10" spans="1:12">
      <c r="A10" s="4">
        <v>14987</v>
      </c>
      <c r="B10" s="3" t="s">
        <v>11</v>
      </c>
      <c r="C10" s="3" t="s">
        <v>675</v>
      </c>
      <c r="D10" s="3" t="s">
        <v>186</v>
      </c>
      <c r="E10" s="3" t="s">
        <v>683</v>
      </c>
      <c r="F10" s="39">
        <v>45961</v>
      </c>
      <c r="G10" s="40">
        <v>671165.17</v>
      </c>
      <c r="H10" s="40">
        <v>128171.55</v>
      </c>
      <c r="I10" s="41">
        <f t="shared" si="0"/>
        <v>0.190968714899195</v>
      </c>
      <c r="J10" s="42">
        <v>0.190900001525879</v>
      </c>
      <c r="K10" s="5" t="s">
        <v>684</v>
      </c>
      <c r="L10" s="5" t="s">
        <v>81</v>
      </c>
    </row>
    <row r="11" spans="1:12">
      <c r="A11" s="4">
        <v>15736</v>
      </c>
      <c r="B11" s="3" t="s">
        <v>11</v>
      </c>
      <c r="C11" s="3" t="s">
        <v>675</v>
      </c>
      <c r="D11" s="3" t="s">
        <v>685</v>
      </c>
      <c r="E11" s="3" t="s">
        <v>686</v>
      </c>
      <c r="F11" s="39">
        <v>46001</v>
      </c>
      <c r="G11" s="40">
        <v>198531.95</v>
      </c>
      <c r="H11" s="40">
        <v>193935.95</v>
      </c>
      <c r="I11" s="41">
        <f t="shared" si="0"/>
        <v>0.976850073753872</v>
      </c>
      <c r="J11" s="42">
        <v>0.976800003051758</v>
      </c>
      <c r="K11" s="5" t="s">
        <v>687</v>
      </c>
      <c r="L11" s="5" t="s">
        <v>688</v>
      </c>
    </row>
    <row r="12" spans="1:12">
      <c r="A12" s="4">
        <v>14775</v>
      </c>
      <c r="B12" s="3" t="s">
        <v>11</v>
      </c>
      <c r="C12" s="3" t="s">
        <v>670</v>
      </c>
      <c r="D12" s="3" t="s">
        <v>173</v>
      </c>
      <c r="E12" s="3" t="s">
        <v>689</v>
      </c>
      <c r="F12" s="39">
        <v>45940</v>
      </c>
      <c r="G12" s="40">
        <v>392688</v>
      </c>
      <c r="H12" s="40">
        <v>234768.11</v>
      </c>
      <c r="I12" s="41">
        <f t="shared" si="0"/>
        <v>0.597848953876869</v>
      </c>
      <c r="J12" s="42">
        <v>0.792099990844726</v>
      </c>
      <c r="K12" s="5" t="str">
        <f>VLOOKUP(A12,'[1]bairros (execu)'!A:O,14,0)</f>
        <v>PIÇARREIRA</v>
      </c>
      <c r="L12" s="5" t="str">
        <f>VLOOKUP(A12,'[1]bairros (execu)'!A:O,15,0)</f>
        <v>ZONA LESTE</v>
      </c>
    </row>
    <row r="13" spans="1:12">
      <c r="A13" s="4">
        <v>14777</v>
      </c>
      <c r="B13" s="3" t="s">
        <v>11</v>
      </c>
      <c r="C13" s="3" t="s">
        <v>670</v>
      </c>
      <c r="D13" s="3" t="s">
        <v>173</v>
      </c>
      <c r="E13" s="3" t="s">
        <v>690</v>
      </c>
      <c r="F13" s="43">
        <v>45939</v>
      </c>
      <c r="G13" s="40">
        <v>522378.69</v>
      </c>
      <c r="H13" s="40">
        <v>257794.58</v>
      </c>
      <c r="I13" s="41">
        <f t="shared" si="0"/>
        <v>0.4935013332952</v>
      </c>
      <c r="J13" s="42">
        <v>0.488699989318848</v>
      </c>
      <c r="K13" s="5" t="str">
        <f>VLOOKUP(A13,'[1]bairros (execu)'!A:O,14,0)</f>
        <v>BOM PRINCÍPIO</v>
      </c>
      <c r="L13" s="5" t="str">
        <f>VLOOKUP(A13,'[1]bairros (execu)'!A:O,15,0)</f>
        <v>ZONA SULDESTE</v>
      </c>
    </row>
    <row r="14" spans="1:12">
      <c r="A14" s="4">
        <v>14839</v>
      </c>
      <c r="B14" s="3" t="s">
        <v>11</v>
      </c>
      <c r="C14" s="3" t="s">
        <v>670</v>
      </c>
      <c r="D14" s="3" t="s">
        <v>186</v>
      </c>
      <c r="E14" s="3" t="s">
        <v>691</v>
      </c>
      <c r="F14" s="39">
        <v>46014</v>
      </c>
      <c r="G14" s="40">
        <v>656298.79</v>
      </c>
      <c r="H14" s="40">
        <v>265023.62</v>
      </c>
      <c r="I14" s="41">
        <f t="shared" si="0"/>
        <v>0.40381549385456</v>
      </c>
      <c r="J14" s="42">
        <v>0.403800010681152</v>
      </c>
      <c r="K14" s="5" t="str">
        <f>VLOOKUP(A14,'[1]bairros (execu)'!A:O,14,0)</f>
        <v>LOURIVAL PARENTE</v>
      </c>
      <c r="L14" s="5" t="str">
        <f>VLOOKUP(A14,'[1]bairros (execu)'!A:O,15,0)</f>
        <v>ZONA SUL</v>
      </c>
    </row>
    <row r="15" spans="1:12">
      <c r="A15" s="4">
        <v>15739</v>
      </c>
      <c r="B15" s="3" t="s">
        <v>11</v>
      </c>
      <c r="C15" s="3" t="s">
        <v>670</v>
      </c>
      <c r="D15" s="3" t="s">
        <v>186</v>
      </c>
      <c r="E15" s="3" t="s">
        <v>692</v>
      </c>
      <c r="F15" s="43">
        <v>46051</v>
      </c>
      <c r="G15" s="40">
        <v>774534.52</v>
      </c>
      <c r="H15" s="40">
        <v>277799.34</v>
      </c>
      <c r="I15" s="41">
        <f t="shared" si="0"/>
        <v>0.358666183141844</v>
      </c>
      <c r="J15" s="42">
        <v>0.358600006103516</v>
      </c>
      <c r="K15" s="5" t="s">
        <v>693</v>
      </c>
      <c r="L15" s="5" t="s">
        <v>694</v>
      </c>
    </row>
    <row r="16" spans="1:12">
      <c r="A16" s="4">
        <v>14773</v>
      </c>
      <c r="B16" s="3" t="s">
        <v>11</v>
      </c>
      <c r="C16" s="3" t="s">
        <v>670</v>
      </c>
      <c r="D16" s="3" t="s">
        <v>222</v>
      </c>
      <c r="E16" s="3" t="s">
        <v>695</v>
      </c>
      <c r="F16" s="39">
        <v>46020</v>
      </c>
      <c r="G16" s="40">
        <v>474900</v>
      </c>
      <c r="H16" s="40">
        <v>291017.95</v>
      </c>
      <c r="I16" s="41">
        <f t="shared" si="0"/>
        <v>0.612798378606022</v>
      </c>
      <c r="J16" s="42">
        <v>0.959800033569336</v>
      </c>
      <c r="K16" s="5" t="str">
        <f>VLOOKUP(A16,'[1]bairros (execu)'!A:O,14,0)</f>
        <v>MATADOURO</v>
      </c>
      <c r="L16" s="5" t="str">
        <f>VLOOKUP(A16,'[1]bairros (execu)'!A:O,15,0)</f>
        <v>ZONA NORTE</v>
      </c>
    </row>
    <row r="17" spans="1:12">
      <c r="A17" s="4">
        <v>15742</v>
      </c>
      <c r="B17" s="3" t="s">
        <v>11</v>
      </c>
      <c r="C17" s="3" t="s">
        <v>670</v>
      </c>
      <c r="D17" s="3" t="s">
        <v>69</v>
      </c>
      <c r="E17" s="3" t="s">
        <v>696</v>
      </c>
      <c r="F17" s="39">
        <v>45944</v>
      </c>
      <c r="G17" s="40">
        <v>2862376.36</v>
      </c>
      <c r="H17" s="40">
        <v>333586.76</v>
      </c>
      <c r="I17" s="41">
        <f t="shared" si="0"/>
        <v>0.116541893184165</v>
      </c>
      <c r="J17" s="42">
        <v>0.200400009155273</v>
      </c>
      <c r="K17" s="5" t="s">
        <v>697</v>
      </c>
      <c r="L17" s="5" t="s">
        <v>698</v>
      </c>
    </row>
    <row r="18" spans="1:12">
      <c r="A18" s="4">
        <v>15867</v>
      </c>
      <c r="B18" s="3" t="s">
        <v>11</v>
      </c>
      <c r="C18" s="3" t="s">
        <v>670</v>
      </c>
      <c r="D18" s="3" t="s">
        <v>83</v>
      </c>
      <c r="E18" s="3" t="s">
        <v>699</v>
      </c>
      <c r="F18" s="43">
        <v>46030</v>
      </c>
      <c r="G18" s="40">
        <v>744390.33</v>
      </c>
      <c r="H18" s="40">
        <v>334975.65</v>
      </c>
      <c r="I18" s="41">
        <f t="shared" si="0"/>
        <v>0.450000002015072</v>
      </c>
      <c r="J18" s="42">
        <v>0.45</v>
      </c>
      <c r="K18" s="5" t="s">
        <v>700</v>
      </c>
      <c r="L18" s="5" t="s">
        <v>701</v>
      </c>
    </row>
    <row r="19" spans="1:12">
      <c r="A19" s="4">
        <v>15507</v>
      </c>
      <c r="B19" s="3" t="s">
        <v>11</v>
      </c>
      <c r="C19" s="3" t="s">
        <v>670</v>
      </c>
      <c r="D19" s="3" t="s">
        <v>222</v>
      </c>
      <c r="E19" s="3" t="s">
        <v>702</v>
      </c>
      <c r="F19" s="43">
        <v>46027</v>
      </c>
      <c r="G19" s="40">
        <v>683384.04</v>
      </c>
      <c r="H19" s="40">
        <v>356509.23</v>
      </c>
      <c r="I19" s="41">
        <f t="shared" si="0"/>
        <v>0.521682113032666</v>
      </c>
      <c r="J19" s="42">
        <v>0.538899993896484</v>
      </c>
      <c r="K19" s="5" t="str">
        <f>VLOOKUP(A19,'[1]bairros (execu)'!A:O,14,0)</f>
        <v>SANTA MARIA</v>
      </c>
      <c r="L19" s="5" t="str">
        <f>VLOOKUP(A19,'[1]bairros (execu)'!A:O,15,0)</f>
        <v>ZONA NORTE</v>
      </c>
    </row>
    <row r="20" spans="1:12">
      <c r="A20" s="4">
        <v>12508</v>
      </c>
      <c r="B20" s="3" t="s">
        <v>11</v>
      </c>
      <c r="C20" s="3" t="s">
        <v>670</v>
      </c>
      <c r="D20" s="3" t="s">
        <v>41</v>
      </c>
      <c r="E20" s="3" t="s">
        <v>703</v>
      </c>
      <c r="F20" s="39">
        <v>45952</v>
      </c>
      <c r="G20" s="40">
        <v>1543073.01</v>
      </c>
      <c r="H20" s="40">
        <v>420128.38</v>
      </c>
      <c r="I20" s="41">
        <f t="shared" si="0"/>
        <v>0.272267337499475</v>
      </c>
      <c r="J20" s="42">
        <v>0.758300018310547</v>
      </c>
      <c r="K20" s="5" t="s">
        <v>57</v>
      </c>
      <c r="L20" s="5" t="str">
        <f>VLOOKUP(A20,'[1]bairros (execu)'!A:O,15,0)</f>
        <v>ZONA SUL</v>
      </c>
    </row>
    <row r="21" spans="1:12">
      <c r="A21" s="4">
        <v>16053</v>
      </c>
      <c r="B21" s="3" t="s">
        <v>11</v>
      </c>
      <c r="C21" s="3" t="s">
        <v>670</v>
      </c>
      <c r="D21" s="3" t="s">
        <v>83</v>
      </c>
      <c r="E21" s="3" t="s">
        <v>704</v>
      </c>
      <c r="F21" s="43">
        <v>46097</v>
      </c>
      <c r="G21" s="40">
        <v>860149.6</v>
      </c>
      <c r="H21" s="40">
        <v>448024.47</v>
      </c>
      <c r="I21" s="41">
        <f t="shared" si="0"/>
        <v>0.520868079227148</v>
      </c>
      <c r="J21" s="42">
        <v>0.520800018310547</v>
      </c>
      <c r="K21" s="5" t="s">
        <v>705</v>
      </c>
      <c r="L21" s="5" t="s">
        <v>706</v>
      </c>
    </row>
    <row r="22" spans="1:12">
      <c r="A22" s="4">
        <v>13434</v>
      </c>
      <c r="B22" s="3" t="s">
        <v>11</v>
      </c>
      <c r="C22" s="3" t="s">
        <v>675</v>
      </c>
      <c r="D22" s="3" t="s">
        <v>203</v>
      </c>
      <c r="E22" s="3" t="s">
        <v>707</v>
      </c>
      <c r="F22" s="43">
        <v>45559</v>
      </c>
      <c r="G22" s="40">
        <v>1506630.47</v>
      </c>
      <c r="H22" s="40">
        <v>453768.85</v>
      </c>
      <c r="I22" s="41">
        <f t="shared" si="0"/>
        <v>0.301181251166386</v>
      </c>
      <c r="J22" s="42">
        <v>0.331599998474121</v>
      </c>
      <c r="K22" s="5" t="s">
        <v>708</v>
      </c>
      <c r="L22" s="5" t="s">
        <v>24</v>
      </c>
    </row>
    <row r="23" spans="1:12">
      <c r="A23" s="4">
        <v>15799</v>
      </c>
      <c r="B23" s="3" t="s">
        <v>11</v>
      </c>
      <c r="C23" s="3" t="s">
        <v>670</v>
      </c>
      <c r="D23" s="3" t="s">
        <v>12</v>
      </c>
      <c r="E23" s="3" t="s">
        <v>709</v>
      </c>
      <c r="F23" s="39">
        <v>46020</v>
      </c>
      <c r="G23" s="40">
        <v>823360.3</v>
      </c>
      <c r="H23" s="40">
        <v>480192.57</v>
      </c>
      <c r="I23" s="41">
        <f t="shared" si="0"/>
        <v>0.583210740182639</v>
      </c>
      <c r="J23" s="42">
        <v>0.583199996948242</v>
      </c>
      <c r="K23" s="5" t="s">
        <v>40</v>
      </c>
      <c r="L23" s="5" t="s">
        <v>137</v>
      </c>
    </row>
    <row r="24" spans="1:12">
      <c r="A24" s="4">
        <v>11197</v>
      </c>
      <c r="B24" s="3" t="s">
        <v>11</v>
      </c>
      <c r="C24" s="3" t="s">
        <v>675</v>
      </c>
      <c r="D24" s="3" t="s">
        <v>173</v>
      </c>
      <c r="E24" s="3" t="s">
        <v>710</v>
      </c>
      <c r="F24" s="43">
        <v>45119</v>
      </c>
      <c r="G24" s="40">
        <v>970536.27</v>
      </c>
      <c r="H24" s="40">
        <v>493226</v>
      </c>
      <c r="I24" s="41">
        <f t="shared" si="0"/>
        <v>0.508199451422872</v>
      </c>
      <c r="J24" s="42">
        <v>0.50810001373291</v>
      </c>
      <c r="K24" s="5" t="s">
        <v>711</v>
      </c>
      <c r="L24" s="5" t="s">
        <v>712</v>
      </c>
    </row>
    <row r="25" spans="1:12">
      <c r="A25" s="4">
        <v>13912</v>
      </c>
      <c r="B25" s="3" t="s">
        <v>11</v>
      </c>
      <c r="C25" s="3" t="s">
        <v>675</v>
      </c>
      <c r="D25" s="3" t="s">
        <v>222</v>
      </c>
      <c r="E25" s="3" t="s">
        <v>713</v>
      </c>
      <c r="F25" s="39">
        <v>45589</v>
      </c>
      <c r="G25" s="40">
        <v>699941.92</v>
      </c>
      <c r="H25" s="40">
        <v>568420.36</v>
      </c>
      <c r="I25" s="41">
        <f t="shared" si="0"/>
        <v>0.812096466518251</v>
      </c>
      <c r="J25" s="42">
        <v>0.809499969482422</v>
      </c>
      <c r="K25" s="5" t="s">
        <v>714</v>
      </c>
      <c r="L25" s="5" t="s">
        <v>47</v>
      </c>
    </row>
    <row r="26" spans="1:12">
      <c r="A26" s="4">
        <v>13879</v>
      </c>
      <c r="B26" s="3" t="s">
        <v>11</v>
      </c>
      <c r="C26" s="3" t="s">
        <v>675</v>
      </c>
      <c r="D26" s="3" t="s">
        <v>186</v>
      </c>
      <c r="E26" s="3" t="s">
        <v>715</v>
      </c>
      <c r="F26" s="39">
        <v>45643</v>
      </c>
      <c r="G26" s="40">
        <v>805323.82</v>
      </c>
      <c r="H26" s="40">
        <v>639694.73</v>
      </c>
      <c r="I26" s="41">
        <f t="shared" si="0"/>
        <v>0.794332309703692</v>
      </c>
      <c r="J26" s="42">
        <v>0.794300003051758</v>
      </c>
      <c r="K26" s="5" t="s">
        <v>716</v>
      </c>
      <c r="L26" s="5" t="s">
        <v>24</v>
      </c>
    </row>
    <row r="27" spans="1:12">
      <c r="A27" s="4">
        <v>10893</v>
      </c>
      <c r="B27" s="3" t="s">
        <v>11</v>
      </c>
      <c r="C27" s="3" t="s">
        <v>675</v>
      </c>
      <c r="D27" s="3" t="s">
        <v>16</v>
      </c>
      <c r="E27" s="3" t="s">
        <v>717</v>
      </c>
      <c r="F27" s="39">
        <v>45279</v>
      </c>
      <c r="G27" s="40">
        <v>1171204.68</v>
      </c>
      <c r="H27" s="40">
        <v>657783.79</v>
      </c>
      <c r="I27" s="41">
        <f t="shared" si="0"/>
        <v>0.561630090139326</v>
      </c>
      <c r="J27" s="42">
        <v>0.935199966430664</v>
      </c>
      <c r="K27" s="5" t="s">
        <v>718</v>
      </c>
      <c r="L27" s="5" t="s">
        <v>24</v>
      </c>
    </row>
    <row r="28" spans="1:12">
      <c r="A28" s="4">
        <v>15410</v>
      </c>
      <c r="B28" s="3" t="s">
        <v>11</v>
      </c>
      <c r="C28" s="3" t="s">
        <v>670</v>
      </c>
      <c r="D28" s="3" t="s">
        <v>83</v>
      </c>
      <c r="E28" s="3" t="s">
        <v>719</v>
      </c>
      <c r="F28" s="43">
        <v>46041</v>
      </c>
      <c r="G28" s="40">
        <v>655561.61</v>
      </c>
      <c r="H28" s="40">
        <v>665538.3</v>
      </c>
      <c r="I28" s="41">
        <f t="shared" si="0"/>
        <v>1.01521853910878</v>
      </c>
      <c r="J28" s="42">
        <v>0.499900016784668</v>
      </c>
      <c r="K28" s="5" t="s">
        <v>63</v>
      </c>
      <c r="L28" s="5" t="s">
        <v>63</v>
      </c>
    </row>
    <row r="29" spans="1:12">
      <c r="A29" s="4">
        <v>11659</v>
      </c>
      <c r="B29" s="3" t="s">
        <v>11</v>
      </c>
      <c r="C29" s="3" t="s">
        <v>675</v>
      </c>
      <c r="D29" s="3" t="s">
        <v>173</v>
      </c>
      <c r="E29" s="3" t="s">
        <v>720</v>
      </c>
      <c r="F29" s="43">
        <v>45369</v>
      </c>
      <c r="G29" s="40">
        <v>677791.21</v>
      </c>
      <c r="H29" s="40">
        <v>684061.3</v>
      </c>
      <c r="I29" s="41">
        <f t="shared" si="0"/>
        <v>1.00925076912697</v>
      </c>
      <c r="J29" s="42">
        <v>0.978099975585938</v>
      </c>
      <c r="K29" s="5" t="s">
        <v>721</v>
      </c>
      <c r="L29" s="5" t="s">
        <v>722</v>
      </c>
    </row>
    <row r="30" spans="1:12">
      <c r="A30" s="4">
        <v>13295</v>
      </c>
      <c r="B30" s="3" t="s">
        <v>11</v>
      </c>
      <c r="C30" s="3" t="s">
        <v>675</v>
      </c>
      <c r="D30" s="3" t="s">
        <v>21</v>
      </c>
      <c r="E30" s="3" t="s">
        <v>723</v>
      </c>
      <c r="F30" s="43">
        <v>45552</v>
      </c>
      <c r="G30" s="40">
        <v>811468.88</v>
      </c>
      <c r="H30" s="40">
        <v>732540.45</v>
      </c>
      <c r="I30" s="41">
        <f t="shared" si="0"/>
        <v>0.902733879332501</v>
      </c>
      <c r="J30" s="42">
        <v>0.901800003051758</v>
      </c>
      <c r="K30" s="5" t="s">
        <v>724</v>
      </c>
      <c r="L30" s="5" t="s">
        <v>725</v>
      </c>
    </row>
    <row r="31" spans="1:12">
      <c r="A31" s="4">
        <v>14302</v>
      </c>
      <c r="B31" s="3" t="s">
        <v>11</v>
      </c>
      <c r="C31" s="3" t="s">
        <v>670</v>
      </c>
      <c r="D31" s="3" t="s">
        <v>69</v>
      </c>
      <c r="E31" s="3" t="s">
        <v>726</v>
      </c>
      <c r="F31" s="39">
        <v>45588</v>
      </c>
      <c r="G31" s="40">
        <v>1685426.97</v>
      </c>
      <c r="H31" s="40">
        <v>941756.08</v>
      </c>
      <c r="I31" s="41">
        <f t="shared" si="0"/>
        <v>0.5587640976221</v>
      </c>
      <c r="J31" s="42">
        <v>0.630800018310547</v>
      </c>
      <c r="K31" s="5" t="s">
        <v>727</v>
      </c>
      <c r="L31" s="5" t="s">
        <v>47</v>
      </c>
    </row>
    <row r="32" spans="1:12">
      <c r="A32" s="45">
        <v>13910</v>
      </c>
      <c r="B32" s="8" t="s">
        <v>11</v>
      </c>
      <c r="C32" s="8" t="s">
        <v>675</v>
      </c>
      <c r="D32" s="8" t="s">
        <v>186</v>
      </c>
      <c r="E32" s="8" t="s">
        <v>728</v>
      </c>
      <c r="F32" s="46">
        <v>45694</v>
      </c>
      <c r="G32" s="47">
        <v>968874.75</v>
      </c>
      <c r="H32" s="47">
        <v>949173.77</v>
      </c>
      <c r="I32" s="48">
        <f t="shared" si="0"/>
        <v>0.979666122994742</v>
      </c>
      <c r="J32" s="49">
        <v>0.979599990844726</v>
      </c>
      <c r="K32" s="5" t="s">
        <v>729</v>
      </c>
      <c r="L32" s="5" t="s">
        <v>730</v>
      </c>
    </row>
    <row r="33" spans="1:12">
      <c r="A33" s="4">
        <v>12546</v>
      </c>
      <c r="B33" s="3" t="s">
        <v>731</v>
      </c>
      <c r="C33" s="3" t="s">
        <v>670</v>
      </c>
      <c r="D33" s="3" t="s">
        <v>18</v>
      </c>
      <c r="E33" s="3" t="s">
        <v>732</v>
      </c>
      <c r="F33" s="43">
        <v>45499</v>
      </c>
      <c r="G33" s="40">
        <v>135937965.98</v>
      </c>
      <c r="H33" s="40">
        <v>981620.25</v>
      </c>
      <c r="I33" s="41">
        <f t="shared" si="0"/>
        <v>0.00722108972959344</v>
      </c>
      <c r="J33" s="42">
        <v>0.834199981689453</v>
      </c>
      <c r="K33" s="5" t="str">
        <f>VLOOKUP(A33,'[1]bairros (execu)'!A:O,14,0)</f>
        <v>PIRAJÁ</v>
      </c>
      <c r="L33" s="5" t="str">
        <f>VLOOKUP(A33,'[1]bairros (execu)'!A:O,15,0)</f>
        <v>ZONA CENTRO</v>
      </c>
    </row>
    <row r="34" spans="1:12">
      <c r="A34" s="4">
        <v>15118</v>
      </c>
      <c r="B34" s="3" t="s">
        <v>11</v>
      </c>
      <c r="C34" s="3" t="s">
        <v>675</v>
      </c>
      <c r="D34" s="3" t="s">
        <v>203</v>
      </c>
      <c r="E34" s="3" t="s">
        <v>733</v>
      </c>
      <c r="F34" s="43">
        <v>45929</v>
      </c>
      <c r="G34" s="40">
        <v>1066096.7</v>
      </c>
      <c r="H34" s="40">
        <v>1060131.73</v>
      </c>
      <c r="I34" s="41">
        <f t="shared" si="0"/>
        <v>0.994404850892044</v>
      </c>
      <c r="J34" s="42">
        <v>1</v>
      </c>
      <c r="K34" s="5" t="s">
        <v>734</v>
      </c>
      <c r="L34" s="5" t="s">
        <v>81</v>
      </c>
    </row>
    <row r="35" spans="1:12">
      <c r="A35" s="45">
        <v>15288</v>
      </c>
      <c r="B35" s="8" t="s">
        <v>11</v>
      </c>
      <c r="C35" s="8" t="s">
        <v>670</v>
      </c>
      <c r="D35" s="8" t="s">
        <v>186</v>
      </c>
      <c r="E35" s="8" t="s">
        <v>735</v>
      </c>
      <c r="F35" s="46">
        <v>45995</v>
      </c>
      <c r="G35" s="47">
        <v>3916896.7</v>
      </c>
      <c r="H35" s="47">
        <v>1248312.27</v>
      </c>
      <c r="I35" s="48">
        <f t="shared" si="0"/>
        <v>0.318699308562312</v>
      </c>
      <c r="J35" s="49">
        <v>0.480499992370606</v>
      </c>
      <c r="K35" s="5" t="s">
        <v>736</v>
      </c>
      <c r="L35" s="5" t="s">
        <v>737</v>
      </c>
    </row>
    <row r="36" spans="1:12">
      <c r="A36" s="4">
        <v>11662</v>
      </c>
      <c r="B36" s="3" t="s">
        <v>11</v>
      </c>
      <c r="C36" s="3" t="s">
        <v>675</v>
      </c>
      <c r="D36" s="3" t="s">
        <v>173</v>
      </c>
      <c r="E36" s="3" t="s">
        <v>738</v>
      </c>
      <c r="F36" s="39">
        <v>45286</v>
      </c>
      <c r="G36" s="40">
        <v>1893979.44</v>
      </c>
      <c r="H36" s="40">
        <v>1266418.76</v>
      </c>
      <c r="I36" s="41">
        <f t="shared" si="0"/>
        <v>0.668654967025408</v>
      </c>
      <c r="J36" s="42">
        <v>0.796399993896484</v>
      </c>
      <c r="K36" s="5" t="s">
        <v>66</v>
      </c>
      <c r="L36" s="5" t="s">
        <v>67</v>
      </c>
    </row>
    <row r="37" spans="1:12">
      <c r="A37" s="4">
        <v>15169</v>
      </c>
      <c r="B37" s="3" t="s">
        <v>11</v>
      </c>
      <c r="C37" s="3" t="s">
        <v>670</v>
      </c>
      <c r="D37" s="3" t="s">
        <v>83</v>
      </c>
      <c r="E37" s="3" t="s">
        <v>739</v>
      </c>
      <c r="F37" s="39">
        <v>46007</v>
      </c>
      <c r="G37" s="40">
        <v>1853982.93</v>
      </c>
      <c r="H37" s="40">
        <v>1294757.3</v>
      </c>
      <c r="I37" s="41">
        <f t="shared" si="0"/>
        <v>0.698365275671659</v>
      </c>
      <c r="J37" s="42">
        <v>0.698300018310547</v>
      </c>
      <c r="K37" s="5" t="s">
        <v>740</v>
      </c>
      <c r="L37" s="5" t="s">
        <v>741</v>
      </c>
    </row>
    <row r="38" spans="1:12">
      <c r="A38" s="4">
        <v>14488</v>
      </c>
      <c r="B38" s="3" t="s">
        <v>11</v>
      </c>
      <c r="C38" s="3" t="s">
        <v>670</v>
      </c>
      <c r="D38" s="3" t="s">
        <v>222</v>
      </c>
      <c r="E38" s="3" t="s">
        <v>742</v>
      </c>
      <c r="F38" s="43">
        <v>45819</v>
      </c>
      <c r="G38" s="40">
        <v>1399278.99</v>
      </c>
      <c r="H38" s="40">
        <v>1368406.54</v>
      </c>
      <c r="I38" s="41">
        <f t="shared" si="0"/>
        <v>0.977936887339386</v>
      </c>
      <c r="J38" s="42">
        <v>0.833899993896484</v>
      </c>
      <c r="K38" s="5" t="str">
        <f>VLOOKUP(A38,'[1]bairros (execu)'!A:O,14,0)</f>
        <v>CENTRO (SUL)</v>
      </c>
      <c r="L38" s="5" t="str">
        <f>VLOOKUP(A38,'[1]bairros (execu)'!A:O,15,0)</f>
        <v>CENTRO </v>
      </c>
    </row>
    <row r="39" spans="1:12">
      <c r="A39" s="4">
        <v>15394</v>
      </c>
      <c r="B39" s="3" t="s">
        <v>11</v>
      </c>
      <c r="C39" s="3" t="s">
        <v>675</v>
      </c>
      <c r="D39" s="3" t="s">
        <v>743</v>
      </c>
      <c r="E39" s="3" t="s">
        <v>744</v>
      </c>
      <c r="F39" s="43">
        <v>45349</v>
      </c>
      <c r="G39" s="40">
        <v>135398000</v>
      </c>
      <c r="H39" s="40">
        <v>1447353.67</v>
      </c>
      <c r="I39" s="41">
        <f t="shared" si="0"/>
        <v>0.0106896237019749</v>
      </c>
      <c r="J39" s="42">
        <v>0.0881999969482422</v>
      </c>
      <c r="K39" s="5"/>
      <c r="L39" s="5" t="s">
        <v>745</v>
      </c>
    </row>
    <row r="40" spans="1:12">
      <c r="A40" s="4">
        <v>14055</v>
      </c>
      <c r="B40" s="3" t="s">
        <v>11</v>
      </c>
      <c r="C40" s="3" t="s">
        <v>675</v>
      </c>
      <c r="D40" s="3" t="s">
        <v>83</v>
      </c>
      <c r="E40" s="3" t="s">
        <v>746</v>
      </c>
      <c r="F40" s="39">
        <v>45614</v>
      </c>
      <c r="G40" s="40">
        <v>1492681.18</v>
      </c>
      <c r="H40" s="40">
        <v>1482060.58</v>
      </c>
      <c r="I40" s="41">
        <f t="shared" si="0"/>
        <v>0.992884883830317</v>
      </c>
      <c r="J40" s="42">
        <v>0.989899978637695</v>
      </c>
      <c r="K40" s="5" t="s">
        <v>747</v>
      </c>
      <c r="L40" s="5" t="s">
        <v>748</v>
      </c>
    </row>
    <row r="41" spans="1:12">
      <c r="A41" s="4">
        <v>16521</v>
      </c>
      <c r="B41" s="3" t="s">
        <v>11</v>
      </c>
      <c r="C41" s="3" t="s">
        <v>670</v>
      </c>
      <c r="D41" s="3" t="s">
        <v>749</v>
      </c>
      <c r="E41" s="3" t="s">
        <v>750</v>
      </c>
      <c r="F41" s="43">
        <v>46073</v>
      </c>
      <c r="G41" s="40">
        <v>7761583.61</v>
      </c>
      <c r="H41" s="40">
        <v>1635332.66</v>
      </c>
      <c r="I41" s="41">
        <f t="shared" si="0"/>
        <v>0.210695747436521</v>
      </c>
      <c r="J41" s="42">
        <v>0</v>
      </c>
      <c r="K41" s="5" t="str">
        <f>VLOOKUP(A41,'[1]bairros (execu)'!A:O,14,0)</f>
        <v>JÓQUEI</v>
      </c>
      <c r="L41" s="5" t="str">
        <f>VLOOKUP(A41,'[1]bairros (execu)'!A:O,15,0)</f>
        <v>ZONA LESTE</v>
      </c>
    </row>
    <row r="42" spans="1:12">
      <c r="A42" s="4">
        <v>14796</v>
      </c>
      <c r="B42" s="3" t="s">
        <v>11</v>
      </c>
      <c r="C42" s="3" t="s">
        <v>670</v>
      </c>
      <c r="D42" s="3" t="s">
        <v>55</v>
      </c>
      <c r="E42" s="3" t="s">
        <v>751</v>
      </c>
      <c r="F42" s="43">
        <v>45821</v>
      </c>
      <c r="G42" s="40">
        <v>2274174.71</v>
      </c>
      <c r="H42" s="40">
        <v>1758135.78</v>
      </c>
      <c r="I42" s="41">
        <f t="shared" si="0"/>
        <v>0.77308738518159</v>
      </c>
      <c r="J42" s="42">
        <v>0.957300033569336</v>
      </c>
      <c r="K42" s="5" t="s">
        <v>752</v>
      </c>
      <c r="L42" s="5" t="s">
        <v>753</v>
      </c>
    </row>
    <row r="43" spans="1:12">
      <c r="A43" s="4">
        <v>14864</v>
      </c>
      <c r="B43" s="3" t="s">
        <v>11</v>
      </c>
      <c r="C43" s="3" t="s">
        <v>670</v>
      </c>
      <c r="D43" s="3" t="s">
        <v>12</v>
      </c>
      <c r="E43" s="3" t="s">
        <v>754</v>
      </c>
      <c r="F43" s="43">
        <v>45793</v>
      </c>
      <c r="G43" s="40">
        <v>4088482.92</v>
      </c>
      <c r="H43" s="40">
        <v>2645132.08</v>
      </c>
      <c r="I43" s="41">
        <f t="shared" si="0"/>
        <v>0.646971537305578</v>
      </c>
      <c r="J43" s="42">
        <v>0.759599990844726</v>
      </c>
      <c r="K43" s="5" t="s">
        <v>218</v>
      </c>
      <c r="L43" s="5" t="s">
        <v>24</v>
      </c>
    </row>
    <row r="44" spans="1:12">
      <c r="A44" s="4">
        <v>14889</v>
      </c>
      <c r="B44" s="3" t="s">
        <v>11</v>
      </c>
      <c r="C44" s="3" t="s">
        <v>675</v>
      </c>
      <c r="D44" s="3" t="s">
        <v>203</v>
      </c>
      <c r="E44" s="3" t="s">
        <v>755</v>
      </c>
      <c r="F44" s="43">
        <v>45931</v>
      </c>
      <c r="G44" s="40">
        <v>7501000</v>
      </c>
      <c r="H44" s="40">
        <v>2657820.61</v>
      </c>
      <c r="I44" s="41">
        <f t="shared" si="0"/>
        <v>0.354328837488335</v>
      </c>
      <c r="J44" s="42">
        <v>0.708499984741211</v>
      </c>
      <c r="K44" s="5" t="s">
        <v>756</v>
      </c>
      <c r="L44" s="5" t="s">
        <v>757</v>
      </c>
    </row>
    <row r="45" spans="1:12">
      <c r="A45" s="4">
        <v>15618</v>
      </c>
      <c r="B45" s="3" t="s">
        <v>11</v>
      </c>
      <c r="C45" s="3" t="s">
        <v>670</v>
      </c>
      <c r="D45" s="3" t="s">
        <v>758</v>
      </c>
      <c r="E45" s="3" t="s">
        <v>759</v>
      </c>
      <c r="F45" s="43">
        <v>45876</v>
      </c>
      <c r="G45" s="40">
        <v>4512257.85</v>
      </c>
      <c r="H45" s="40">
        <v>2675954.73</v>
      </c>
      <c r="I45" s="41">
        <f t="shared" si="0"/>
        <v>0.593041182254246</v>
      </c>
      <c r="J45" s="42">
        <v>0.356300010681152</v>
      </c>
      <c r="K45" s="5" t="s">
        <v>760</v>
      </c>
      <c r="L45" s="5" t="s">
        <v>36</v>
      </c>
    </row>
    <row r="46" spans="1:12">
      <c r="A46" s="4">
        <v>11554</v>
      </c>
      <c r="B46" s="3" t="s">
        <v>11</v>
      </c>
      <c r="C46" s="3" t="s">
        <v>675</v>
      </c>
      <c r="D46" s="3" t="s">
        <v>16</v>
      </c>
      <c r="E46" s="3" t="s">
        <v>761</v>
      </c>
      <c r="F46" s="43">
        <v>45359</v>
      </c>
      <c r="G46" s="40">
        <v>3158069.3</v>
      </c>
      <c r="H46" s="40">
        <v>2929144.82</v>
      </c>
      <c r="I46" s="41">
        <f t="shared" si="0"/>
        <v>0.927511255057006</v>
      </c>
      <c r="J46" s="42">
        <v>0.999899978637695</v>
      </c>
      <c r="K46" s="5" t="s">
        <v>762</v>
      </c>
      <c r="L46" s="5" t="s">
        <v>28</v>
      </c>
    </row>
    <row r="47" spans="1:12">
      <c r="A47" s="4">
        <v>15016</v>
      </c>
      <c r="B47" s="3" t="s">
        <v>11</v>
      </c>
      <c r="C47" s="3" t="s">
        <v>670</v>
      </c>
      <c r="D47" s="3" t="s">
        <v>763</v>
      </c>
      <c r="E47" s="3" t="s">
        <v>764</v>
      </c>
      <c r="F47" s="43">
        <v>45840</v>
      </c>
      <c r="G47" s="40">
        <v>4000000</v>
      </c>
      <c r="H47" s="40">
        <v>2998320.83</v>
      </c>
      <c r="I47" s="41">
        <f t="shared" si="0"/>
        <v>0.7495802075</v>
      </c>
      <c r="J47" s="42">
        <v>0.999599990844726</v>
      </c>
      <c r="K47" s="5" t="s">
        <v>765</v>
      </c>
      <c r="L47" s="5" t="s">
        <v>725</v>
      </c>
    </row>
    <row r="48" spans="1:12">
      <c r="A48" s="4">
        <v>14496</v>
      </c>
      <c r="B48" s="3" t="s">
        <v>11</v>
      </c>
      <c r="C48" s="3" t="s">
        <v>675</v>
      </c>
      <c r="D48" s="3" t="s">
        <v>203</v>
      </c>
      <c r="E48" s="3" t="s">
        <v>766</v>
      </c>
      <c r="F48" s="43">
        <v>45835</v>
      </c>
      <c r="G48" s="40">
        <v>3376231.27</v>
      </c>
      <c r="H48" s="40">
        <v>3118369.31</v>
      </c>
      <c r="I48" s="41">
        <f t="shared" si="0"/>
        <v>0.923624319728547</v>
      </c>
      <c r="J48" s="42">
        <v>0.923600006103516</v>
      </c>
      <c r="K48" s="5" t="s">
        <v>767</v>
      </c>
      <c r="L48" s="5" t="s">
        <v>768</v>
      </c>
    </row>
    <row r="49" spans="1:12">
      <c r="A49" s="4">
        <v>10533</v>
      </c>
      <c r="B49" s="3" t="s">
        <v>11</v>
      </c>
      <c r="C49" s="3" t="s">
        <v>675</v>
      </c>
      <c r="D49" s="3" t="s">
        <v>38</v>
      </c>
      <c r="E49" s="3" t="s">
        <v>769</v>
      </c>
      <c r="F49" s="43">
        <v>45126</v>
      </c>
      <c r="G49" s="40">
        <v>5149692.57</v>
      </c>
      <c r="H49" s="40">
        <v>3699584.71</v>
      </c>
      <c r="I49" s="41">
        <f t="shared" si="0"/>
        <v>0.718408848627638</v>
      </c>
      <c r="J49" s="42">
        <v>0.7175</v>
      </c>
      <c r="K49" s="5" t="s">
        <v>145</v>
      </c>
      <c r="L49" s="5" t="s">
        <v>24</v>
      </c>
    </row>
    <row r="50" spans="1:12">
      <c r="A50" s="4">
        <v>13157</v>
      </c>
      <c r="B50" s="3" t="s">
        <v>11</v>
      </c>
      <c r="C50" s="3" t="s">
        <v>675</v>
      </c>
      <c r="D50" s="3" t="s">
        <v>203</v>
      </c>
      <c r="E50" s="3" t="s">
        <v>770</v>
      </c>
      <c r="F50" s="43">
        <v>45512</v>
      </c>
      <c r="G50" s="40">
        <v>13724784.86</v>
      </c>
      <c r="H50" s="40">
        <v>4799466.25</v>
      </c>
      <c r="I50" s="41">
        <f t="shared" si="0"/>
        <v>0.349693368526871</v>
      </c>
      <c r="J50" s="42">
        <v>0.350099983215332</v>
      </c>
      <c r="K50" s="5" t="s">
        <v>771</v>
      </c>
      <c r="L50" s="5" t="s">
        <v>771</v>
      </c>
    </row>
    <row r="51" spans="1:12">
      <c r="A51" s="4">
        <v>13698</v>
      </c>
      <c r="B51" s="3" t="s">
        <v>11</v>
      </c>
      <c r="C51" s="3" t="s">
        <v>675</v>
      </c>
      <c r="D51" s="3" t="s">
        <v>212</v>
      </c>
      <c r="E51" s="3" t="s">
        <v>772</v>
      </c>
      <c r="F51" s="43">
        <v>45540</v>
      </c>
      <c r="G51" s="40">
        <v>5367310.89</v>
      </c>
      <c r="H51" s="40">
        <v>4879798.45</v>
      </c>
      <c r="I51" s="41">
        <f t="shared" si="0"/>
        <v>0.909170076041561</v>
      </c>
      <c r="J51" s="42">
        <v>0.966699981689453</v>
      </c>
      <c r="K51" s="5" t="s">
        <v>773</v>
      </c>
      <c r="L51" s="5" t="s">
        <v>67</v>
      </c>
    </row>
    <row r="52" spans="1:12">
      <c r="A52" s="4">
        <v>15629</v>
      </c>
      <c r="B52" s="3" t="s">
        <v>11</v>
      </c>
      <c r="C52" s="3" t="s">
        <v>670</v>
      </c>
      <c r="D52" s="3" t="s">
        <v>763</v>
      </c>
      <c r="E52" s="3" t="s">
        <v>774</v>
      </c>
      <c r="F52" s="43">
        <v>45923</v>
      </c>
      <c r="G52" s="40">
        <v>10746534.09</v>
      </c>
      <c r="H52" s="40">
        <v>5168274.85</v>
      </c>
      <c r="I52" s="41">
        <f t="shared" si="0"/>
        <v>0.480924808567745</v>
      </c>
      <c r="J52" s="42">
        <v>0.484799995422363</v>
      </c>
      <c r="K52" s="5" t="s">
        <v>775</v>
      </c>
      <c r="L52" s="5" t="s">
        <v>47</v>
      </c>
    </row>
    <row r="53" spans="1:12">
      <c r="A53" s="4">
        <v>15004</v>
      </c>
      <c r="B53" s="3" t="s">
        <v>776</v>
      </c>
      <c r="C53" s="3" t="s">
        <v>670</v>
      </c>
      <c r="D53" s="3" t="s">
        <v>25</v>
      </c>
      <c r="E53" s="3" t="s">
        <v>777</v>
      </c>
      <c r="F53" s="39">
        <v>45959</v>
      </c>
      <c r="G53" s="40">
        <v>8790402.91</v>
      </c>
      <c r="H53" s="40">
        <v>6232972.8</v>
      </c>
      <c r="I53" s="41">
        <f t="shared" si="0"/>
        <v>0.709065655330695</v>
      </c>
      <c r="J53" s="42">
        <v>0.709000015258789</v>
      </c>
      <c r="K53" s="5" t="s">
        <v>778</v>
      </c>
      <c r="L53" s="5" t="s">
        <v>779</v>
      </c>
    </row>
    <row r="54" spans="1:12">
      <c r="A54" s="4">
        <v>11547</v>
      </c>
      <c r="B54" s="3" t="s">
        <v>11</v>
      </c>
      <c r="C54" s="3" t="s">
        <v>675</v>
      </c>
      <c r="D54" s="3" t="s">
        <v>16</v>
      </c>
      <c r="E54" s="3" t="s">
        <v>780</v>
      </c>
      <c r="F54" s="43">
        <v>45351</v>
      </c>
      <c r="G54" s="40">
        <v>8390599.4</v>
      </c>
      <c r="H54" s="40">
        <v>8239295.18</v>
      </c>
      <c r="I54" s="41">
        <f t="shared" si="0"/>
        <v>0.981967412244708</v>
      </c>
      <c r="J54" s="42">
        <v>1</v>
      </c>
      <c r="K54" s="5" t="s">
        <v>336</v>
      </c>
      <c r="L54" s="5" t="s">
        <v>760</v>
      </c>
    </row>
    <row r="55" spans="1:12">
      <c r="A55" s="4">
        <v>12091</v>
      </c>
      <c r="B55" s="3" t="s">
        <v>11</v>
      </c>
      <c r="C55" s="3" t="s">
        <v>675</v>
      </c>
      <c r="D55" s="3" t="s">
        <v>61</v>
      </c>
      <c r="E55" s="3" t="s">
        <v>781</v>
      </c>
      <c r="F55" s="43">
        <v>45537</v>
      </c>
      <c r="G55" s="40">
        <v>13610965.01</v>
      </c>
      <c r="H55" s="40">
        <v>13318777.24</v>
      </c>
      <c r="I55" s="41">
        <f t="shared" si="0"/>
        <v>0.978532913001736</v>
      </c>
      <c r="J55" s="42">
        <v>0.990400009155274</v>
      </c>
      <c r="K55" s="5" t="s">
        <v>782</v>
      </c>
      <c r="L55" s="5" t="s">
        <v>783</v>
      </c>
    </row>
    <row r="56" spans="1:12">
      <c r="A56" s="4">
        <v>11321</v>
      </c>
      <c r="B56" s="3" t="s">
        <v>11</v>
      </c>
      <c r="C56" s="3" t="s">
        <v>670</v>
      </c>
      <c r="D56" s="3" t="s">
        <v>61</v>
      </c>
      <c r="E56" s="3" t="s">
        <v>784</v>
      </c>
      <c r="F56" s="39">
        <v>45246</v>
      </c>
      <c r="G56" s="40">
        <v>23221318.24</v>
      </c>
      <c r="H56" s="40">
        <v>23616588.73</v>
      </c>
      <c r="I56" s="41">
        <f t="shared" si="0"/>
        <v>1.01702187989135</v>
      </c>
      <c r="J56" s="42">
        <v>0.89120002746582</v>
      </c>
      <c r="K56" s="5" t="str">
        <f>VLOOKUP(A56,'[1]bairros (execu)'!A:O,14,0)</f>
        <v>PIRAJÁ</v>
      </c>
      <c r="L56" s="5" t="str">
        <f>VLOOKUP(A56,'[1]bairros (execu)'!A:O,15,0)</f>
        <v>ZONA NORTE</v>
      </c>
    </row>
    <row r="57" spans="1:12">
      <c r="A57" s="4">
        <v>10784</v>
      </c>
      <c r="B57" s="3" t="s">
        <v>11</v>
      </c>
      <c r="C57" s="3" t="s">
        <v>670</v>
      </c>
      <c r="D57" s="3" t="s">
        <v>18</v>
      </c>
      <c r="E57" s="3" t="s">
        <v>785</v>
      </c>
      <c r="F57" s="43">
        <v>45309</v>
      </c>
      <c r="G57" s="40">
        <v>191782944.57</v>
      </c>
      <c r="H57" s="40">
        <v>142974147.28</v>
      </c>
      <c r="I57" s="41">
        <f t="shared" si="0"/>
        <v>0.74549980239674</v>
      </c>
      <c r="J57" s="42">
        <v>0.684899978637695</v>
      </c>
      <c r="K57" s="5" t="s">
        <v>786</v>
      </c>
      <c r="L57" s="5" t="s">
        <v>787</v>
      </c>
    </row>
    <row r="58" spans="1:12">
      <c r="A58" s="4">
        <v>14945</v>
      </c>
      <c r="B58" s="3" t="s">
        <v>788</v>
      </c>
      <c r="C58" s="3" t="s">
        <v>670</v>
      </c>
      <c r="D58" s="3" t="s">
        <v>69</v>
      </c>
      <c r="E58" s="3" t="s">
        <v>789</v>
      </c>
      <c r="F58" s="43">
        <v>45810</v>
      </c>
      <c r="G58" s="40">
        <v>12557633.19</v>
      </c>
      <c r="H58" s="40">
        <v>3617081.1</v>
      </c>
      <c r="I58" s="41">
        <f t="shared" si="0"/>
        <v>0.288038442059319</v>
      </c>
      <c r="J58" s="42">
        <v>0.383</v>
      </c>
      <c r="K58" s="5" t="s">
        <v>790</v>
      </c>
      <c r="L58" s="50" t="s">
        <v>791</v>
      </c>
    </row>
    <row r="59" spans="1:12">
      <c r="A59" s="4">
        <v>14893</v>
      </c>
      <c r="B59" s="3" t="s">
        <v>11</v>
      </c>
      <c r="C59" s="3" t="s">
        <v>675</v>
      </c>
      <c r="D59" s="3" t="s">
        <v>203</v>
      </c>
      <c r="E59" s="3" t="s">
        <v>792</v>
      </c>
      <c r="F59" s="43">
        <v>45930</v>
      </c>
      <c r="G59" s="40">
        <v>450000</v>
      </c>
      <c r="H59" s="40">
        <v>212856.77</v>
      </c>
      <c r="I59" s="41">
        <f t="shared" si="0"/>
        <v>0.473015044444444</v>
      </c>
      <c r="J59" s="42">
        <v>0.473</v>
      </c>
      <c r="K59" s="5" t="s">
        <v>793</v>
      </c>
      <c r="L59" s="5" t="s">
        <v>794</v>
      </c>
    </row>
    <row r="60" spans="1:12">
      <c r="A60" s="4">
        <v>14118</v>
      </c>
      <c r="B60" s="3" t="s">
        <v>11</v>
      </c>
      <c r="C60" s="3" t="s">
        <v>670</v>
      </c>
      <c r="D60" s="3" t="s">
        <v>69</v>
      </c>
      <c r="E60" s="3" t="s">
        <v>795</v>
      </c>
      <c r="F60" s="43">
        <v>45523</v>
      </c>
      <c r="G60" s="40">
        <v>3152380.71</v>
      </c>
      <c r="H60" s="40">
        <v>2515816.37</v>
      </c>
      <c r="I60" s="41">
        <f t="shared" si="0"/>
        <v>0.798068698371143</v>
      </c>
      <c r="J60" s="42">
        <v>0.958</v>
      </c>
      <c r="K60" s="5" t="s">
        <v>210</v>
      </c>
      <c r="L60" s="5" t="s">
        <v>760</v>
      </c>
    </row>
    <row r="61" spans="1:12">
      <c r="A61" s="4">
        <v>14836</v>
      </c>
      <c r="B61" s="3" t="s">
        <v>11</v>
      </c>
      <c r="C61" s="3" t="s">
        <v>675</v>
      </c>
      <c r="D61" s="3" t="s">
        <v>83</v>
      </c>
      <c r="E61" s="3" t="s">
        <v>796</v>
      </c>
      <c r="F61" s="43">
        <v>45887</v>
      </c>
      <c r="G61" s="40">
        <v>826499.33</v>
      </c>
      <c r="H61" s="40">
        <v>743865.29</v>
      </c>
      <c r="I61" s="41">
        <f t="shared" si="0"/>
        <v>0.900019229295685</v>
      </c>
      <c r="J61" s="42">
        <v>0.9</v>
      </c>
      <c r="K61" s="5" t="s">
        <v>797</v>
      </c>
      <c r="L61" s="5" t="s">
        <v>47</v>
      </c>
    </row>
  </sheetData>
  <autoFilter xmlns:etc="http://www.wps.cn/officeDocument/2017/etCustomData" ref="A1:L61" etc:filterBottomFollowUsedRange="0">
    <extLst/>
  </autoFilter>
  <pageMargins left="0.511811024" right="0.511811024" top="0.787401575" bottom="0.787401575" header="0.31496062" footer="0.31496062"/>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7"/>
  <sheetViews>
    <sheetView workbookViewId="0">
      <selection activeCell="A1" sqref="A1"/>
    </sheetView>
  </sheetViews>
  <sheetFormatPr defaultColWidth="9" defaultRowHeight="15"/>
  <cols>
    <col min="1" max="1" width="9.28571428571429" customWidth="1"/>
    <col min="4" max="4" width="29.8571428571429" customWidth="1"/>
    <col min="5" max="6" width="16.8571428571429" customWidth="1"/>
    <col min="7" max="7" width="21.5714285714286" customWidth="1"/>
    <col min="8" max="8" width="30.5714285714286" customWidth="1"/>
    <col min="14" max="15" width="11.8571428571429" customWidth="1"/>
    <col min="18" max="18" width="9.28571428571429" customWidth="1"/>
    <col min="21" max="21" width="12.4285714285714" customWidth="1"/>
    <col min="22" max="25" width="11.8571428571429" customWidth="1"/>
    <col min="26" max="28" width="9.28571428571429" customWidth="1"/>
    <col min="30" max="30" width="9.28571428571429" customWidth="1"/>
    <col min="32" max="32" width="9.28571428571429" customWidth="1"/>
    <col min="33" max="33" width="11.8571428571429" customWidth="1"/>
    <col min="35" max="35" width="9.28571428571429" customWidth="1"/>
    <col min="36" max="36" width="22.7142857142857" customWidth="1"/>
    <col min="37" max="37" width="11.1428571428571" customWidth="1"/>
  </cols>
  <sheetData>
    <row r="1" spans="1:37">
      <c r="A1" s="26" t="s">
        <v>798</v>
      </c>
      <c r="B1" s="26" t="s">
        <v>799</v>
      </c>
      <c r="C1" s="26" t="s">
        <v>800</v>
      </c>
      <c r="D1" s="26" t="s">
        <v>801</v>
      </c>
      <c r="E1" s="26" t="s">
        <v>802</v>
      </c>
      <c r="F1" s="26" t="s">
        <v>803</v>
      </c>
      <c r="G1" s="26" t="s">
        <v>804</v>
      </c>
      <c r="H1" s="26" t="s">
        <v>805</v>
      </c>
      <c r="I1" s="26" t="s">
        <v>806</v>
      </c>
      <c r="J1" s="26" t="s">
        <v>807</v>
      </c>
      <c r="K1" s="26" t="s">
        <v>808</v>
      </c>
      <c r="L1" s="26" t="s">
        <v>809</v>
      </c>
      <c r="M1" s="26" t="s">
        <v>810</v>
      </c>
      <c r="N1" s="26" t="s">
        <v>811</v>
      </c>
      <c r="O1" s="26" t="s">
        <v>812</v>
      </c>
      <c r="P1" s="26" t="s">
        <v>813</v>
      </c>
      <c r="Q1" s="26" t="s">
        <v>814</v>
      </c>
      <c r="R1" s="26" t="s">
        <v>815</v>
      </c>
      <c r="S1" s="26" t="s">
        <v>816</v>
      </c>
      <c r="T1" s="26" t="s">
        <v>817</v>
      </c>
      <c r="U1" s="26" t="s">
        <v>818</v>
      </c>
      <c r="V1" s="26" t="s">
        <v>819</v>
      </c>
      <c r="W1" s="26" t="s">
        <v>820</v>
      </c>
      <c r="X1" s="26" t="s">
        <v>821</v>
      </c>
      <c r="Y1" s="26" t="s">
        <v>822</v>
      </c>
      <c r="Z1" s="26" t="s">
        <v>823</v>
      </c>
      <c r="AA1" s="26" t="s">
        <v>824</v>
      </c>
      <c r="AB1" s="26" t="s">
        <v>825</v>
      </c>
      <c r="AC1" s="26" t="s">
        <v>826</v>
      </c>
      <c r="AD1" s="26" t="s">
        <v>827</v>
      </c>
      <c r="AE1" s="26" t="s">
        <v>828</v>
      </c>
      <c r="AF1" s="26" t="s">
        <v>829</v>
      </c>
      <c r="AG1" s="27" t="s">
        <v>830</v>
      </c>
      <c r="AH1" s="27" t="s">
        <v>831</v>
      </c>
      <c r="AI1" s="26" t="s">
        <v>832</v>
      </c>
      <c r="AJ1" s="26" t="s">
        <v>833</v>
      </c>
      <c r="AK1" s="26" t="s">
        <v>834</v>
      </c>
    </row>
    <row r="2" spans="1:37">
      <c r="A2" s="28">
        <v>950013</v>
      </c>
      <c r="B2" s="28" t="s">
        <v>835</v>
      </c>
      <c r="C2" s="28" t="s">
        <v>836</v>
      </c>
      <c r="D2" s="29" t="s">
        <v>837</v>
      </c>
      <c r="E2" s="30">
        <v>511038.59</v>
      </c>
      <c r="F2" s="30">
        <v>500000</v>
      </c>
      <c r="G2" s="30">
        <v>11038.59</v>
      </c>
      <c r="H2" s="30">
        <v>0</v>
      </c>
      <c r="I2" s="28" t="s">
        <v>838</v>
      </c>
      <c r="J2" s="28" t="s">
        <v>11</v>
      </c>
      <c r="K2" s="28" t="s">
        <v>839</v>
      </c>
      <c r="L2" s="28" t="s">
        <v>840</v>
      </c>
      <c r="M2" s="28" t="s">
        <v>841</v>
      </c>
      <c r="N2" s="31">
        <v>45289</v>
      </c>
      <c r="O2" s="32">
        <v>46171</v>
      </c>
      <c r="P2" s="28" t="s">
        <v>841</v>
      </c>
      <c r="Q2" s="28" t="s">
        <v>842</v>
      </c>
      <c r="R2" s="33">
        <v>45292</v>
      </c>
      <c r="S2" s="28" t="s">
        <v>843</v>
      </c>
      <c r="T2" s="28" t="s">
        <v>844</v>
      </c>
      <c r="U2" s="28" t="s">
        <v>845</v>
      </c>
      <c r="V2" s="28" t="s">
        <v>841</v>
      </c>
      <c r="W2" s="32">
        <v>45371</v>
      </c>
      <c r="X2" s="28" t="s">
        <v>841</v>
      </c>
      <c r="Y2" s="28" t="s">
        <v>841</v>
      </c>
      <c r="Z2" s="28">
        <v>0</v>
      </c>
      <c r="AA2" s="28" t="s">
        <v>846</v>
      </c>
      <c r="AB2" s="28">
        <v>2</v>
      </c>
      <c r="AC2" s="28" t="s">
        <v>847</v>
      </c>
      <c r="AD2" s="28" t="s">
        <v>848</v>
      </c>
      <c r="AE2" s="28"/>
      <c r="AF2" s="34">
        <v>0.9784</v>
      </c>
      <c r="AG2" s="32">
        <v>46051</v>
      </c>
      <c r="AH2" s="28" t="s">
        <v>849</v>
      </c>
      <c r="AI2" s="28">
        <v>0</v>
      </c>
      <c r="AJ2" s="28" t="s">
        <v>850</v>
      </c>
      <c r="AK2" s="28" t="s">
        <v>851</v>
      </c>
    </row>
    <row r="3" spans="1:37">
      <c r="A3" s="28">
        <v>951580</v>
      </c>
      <c r="B3" s="28" t="s">
        <v>852</v>
      </c>
      <c r="C3" s="28" t="s">
        <v>836</v>
      </c>
      <c r="D3" s="29" t="s">
        <v>853</v>
      </c>
      <c r="E3" s="30">
        <v>251531.8</v>
      </c>
      <c r="F3" s="30">
        <v>226378.62</v>
      </c>
      <c r="G3" s="30">
        <v>25153.18</v>
      </c>
      <c r="H3" s="30">
        <v>0</v>
      </c>
      <c r="I3" s="28" t="s">
        <v>854</v>
      </c>
      <c r="J3" s="28" t="s">
        <v>11</v>
      </c>
      <c r="K3" s="28" t="s">
        <v>855</v>
      </c>
      <c r="L3" s="28" t="s">
        <v>840</v>
      </c>
      <c r="M3" s="28" t="s">
        <v>841</v>
      </c>
      <c r="N3" s="31">
        <v>45275</v>
      </c>
      <c r="O3" s="32">
        <v>46280</v>
      </c>
      <c r="P3" s="28" t="s">
        <v>841</v>
      </c>
      <c r="Q3" s="28" t="s">
        <v>842</v>
      </c>
      <c r="R3" s="28">
        <v>1234567</v>
      </c>
      <c r="S3" s="28" t="s">
        <v>843</v>
      </c>
      <c r="T3" s="28"/>
      <c r="U3" s="35">
        <v>201000000000000</v>
      </c>
      <c r="V3" s="28" t="s">
        <v>841</v>
      </c>
      <c r="W3" s="28" t="s">
        <v>841</v>
      </c>
      <c r="X3" s="28" t="s">
        <v>841</v>
      </c>
      <c r="Y3" s="28" t="s">
        <v>841</v>
      </c>
      <c r="Z3" s="28">
        <v>0</v>
      </c>
      <c r="AA3" s="28" t="s">
        <v>856</v>
      </c>
      <c r="AB3" s="28">
        <v>2</v>
      </c>
      <c r="AC3" s="28" t="s">
        <v>847</v>
      </c>
      <c r="AD3" s="28" t="s">
        <v>857</v>
      </c>
      <c r="AE3" s="28"/>
      <c r="AF3" s="34">
        <v>0.9</v>
      </c>
      <c r="AG3" s="32">
        <v>46160</v>
      </c>
      <c r="AH3" s="28" t="s">
        <v>849</v>
      </c>
      <c r="AI3" s="28">
        <v>0</v>
      </c>
      <c r="AJ3" s="28" t="s">
        <v>577</v>
      </c>
      <c r="AK3" s="28" t="s">
        <v>47</v>
      </c>
    </row>
    <row r="4" spans="1:37">
      <c r="A4" s="28">
        <v>947927</v>
      </c>
      <c r="B4" s="28" t="s">
        <v>858</v>
      </c>
      <c r="C4" s="28" t="s">
        <v>836</v>
      </c>
      <c r="D4" s="29" t="s">
        <v>859</v>
      </c>
      <c r="E4" s="30">
        <v>651650</v>
      </c>
      <c r="F4" s="30">
        <v>626453</v>
      </c>
      <c r="G4" s="30">
        <v>25197</v>
      </c>
      <c r="H4" s="30">
        <v>626453</v>
      </c>
      <c r="I4" s="28" t="s">
        <v>860</v>
      </c>
      <c r="J4" s="28" t="s">
        <v>11</v>
      </c>
      <c r="K4" s="28" t="s">
        <v>861</v>
      </c>
      <c r="L4" s="28" t="s">
        <v>840</v>
      </c>
      <c r="M4" s="28" t="s">
        <v>841</v>
      </c>
      <c r="N4" s="31">
        <v>45252</v>
      </c>
      <c r="O4" s="32">
        <v>46295</v>
      </c>
      <c r="P4" s="28" t="s">
        <v>841</v>
      </c>
      <c r="Q4" s="28" t="s">
        <v>862</v>
      </c>
      <c r="R4" s="28" t="s">
        <v>863</v>
      </c>
      <c r="S4" s="28" t="s">
        <v>843</v>
      </c>
      <c r="T4" s="28" t="s">
        <v>864</v>
      </c>
      <c r="U4" s="35">
        <v>119000000000000</v>
      </c>
      <c r="V4" s="32">
        <v>45561</v>
      </c>
      <c r="W4" s="31">
        <v>45582</v>
      </c>
      <c r="X4" s="31">
        <v>45596</v>
      </c>
      <c r="Y4" s="32">
        <v>45741</v>
      </c>
      <c r="Z4" s="28" t="s">
        <v>865</v>
      </c>
      <c r="AA4" s="28" t="s">
        <v>866</v>
      </c>
      <c r="AB4" s="28">
        <v>2</v>
      </c>
      <c r="AC4" s="28" t="s">
        <v>847</v>
      </c>
      <c r="AD4" s="28" t="s">
        <v>867</v>
      </c>
      <c r="AE4" s="28"/>
      <c r="AF4" s="34">
        <v>0.9613</v>
      </c>
      <c r="AG4" s="32">
        <v>46175</v>
      </c>
      <c r="AH4" s="28"/>
      <c r="AI4" s="28">
        <v>0</v>
      </c>
      <c r="AJ4" s="28" t="s">
        <v>179</v>
      </c>
      <c r="AK4" s="28" t="s">
        <v>81</v>
      </c>
    </row>
    <row r="5" spans="1:37">
      <c r="A5" s="28">
        <v>947493</v>
      </c>
      <c r="B5" s="28" t="s">
        <v>858</v>
      </c>
      <c r="C5" s="28" t="s">
        <v>836</v>
      </c>
      <c r="D5" s="29" t="s">
        <v>868</v>
      </c>
      <c r="E5" s="30">
        <v>253750</v>
      </c>
      <c r="F5" s="30">
        <v>238750</v>
      </c>
      <c r="G5" s="30">
        <v>15000</v>
      </c>
      <c r="H5" s="30">
        <v>238750</v>
      </c>
      <c r="I5" s="28" t="s">
        <v>860</v>
      </c>
      <c r="J5" s="28" t="s">
        <v>11</v>
      </c>
      <c r="K5" s="28" t="s">
        <v>861</v>
      </c>
      <c r="L5" s="28" t="s">
        <v>869</v>
      </c>
      <c r="M5" s="28" t="s">
        <v>841</v>
      </c>
      <c r="N5" s="31">
        <v>45252</v>
      </c>
      <c r="O5" s="32">
        <v>46295</v>
      </c>
      <c r="P5" s="28" t="s">
        <v>841</v>
      </c>
      <c r="Q5" s="28" t="s">
        <v>862</v>
      </c>
      <c r="R5" s="28" t="s">
        <v>870</v>
      </c>
      <c r="S5" s="28" t="s">
        <v>843</v>
      </c>
      <c r="T5" s="28" t="s">
        <v>864</v>
      </c>
      <c r="U5" s="35">
        <v>119000000000000</v>
      </c>
      <c r="V5" s="32">
        <v>45561</v>
      </c>
      <c r="W5" s="31">
        <v>45588</v>
      </c>
      <c r="X5" s="32">
        <v>45674</v>
      </c>
      <c r="Y5" s="32">
        <v>45776</v>
      </c>
      <c r="Z5" s="28" t="s">
        <v>871</v>
      </c>
      <c r="AA5" s="28">
        <v>0</v>
      </c>
      <c r="AB5" s="28">
        <v>8</v>
      </c>
      <c r="AC5" s="28" t="s">
        <v>847</v>
      </c>
      <c r="AD5" s="28" t="s">
        <v>872</v>
      </c>
      <c r="AE5" s="28"/>
      <c r="AF5" s="34">
        <v>0.9409</v>
      </c>
      <c r="AG5" s="32">
        <v>46175</v>
      </c>
      <c r="AH5" s="28"/>
      <c r="AI5" s="28">
        <v>0</v>
      </c>
      <c r="AJ5" s="28" t="s">
        <v>873</v>
      </c>
      <c r="AK5" s="28" t="s">
        <v>81</v>
      </c>
    </row>
    <row r="6" spans="1:37">
      <c r="A6" s="28">
        <v>947350</v>
      </c>
      <c r="B6" s="28" t="s">
        <v>874</v>
      </c>
      <c r="C6" s="28" t="s">
        <v>836</v>
      </c>
      <c r="D6" s="29" t="s">
        <v>875</v>
      </c>
      <c r="E6" s="30">
        <v>656703</v>
      </c>
      <c r="F6" s="30">
        <v>626453</v>
      </c>
      <c r="G6" s="30">
        <v>30250</v>
      </c>
      <c r="H6" s="30">
        <v>626453</v>
      </c>
      <c r="I6" s="28" t="s">
        <v>876</v>
      </c>
      <c r="J6" s="28" t="s">
        <v>11</v>
      </c>
      <c r="K6" s="28" t="s">
        <v>861</v>
      </c>
      <c r="L6" s="28" t="s">
        <v>877</v>
      </c>
      <c r="M6" s="28" t="s">
        <v>841</v>
      </c>
      <c r="N6" s="31">
        <v>45252</v>
      </c>
      <c r="O6" s="32">
        <v>46295</v>
      </c>
      <c r="P6" s="28" t="s">
        <v>841</v>
      </c>
      <c r="Q6" s="28" t="s">
        <v>862</v>
      </c>
      <c r="R6" s="28" t="s">
        <v>878</v>
      </c>
      <c r="S6" s="28" t="s">
        <v>843</v>
      </c>
      <c r="T6" s="28" t="s">
        <v>864</v>
      </c>
      <c r="U6" s="35">
        <v>119000000000000</v>
      </c>
      <c r="V6" s="31">
        <v>45609</v>
      </c>
      <c r="W6" s="32">
        <v>45628</v>
      </c>
      <c r="X6" s="31">
        <v>45652</v>
      </c>
      <c r="Y6" s="32">
        <v>45741</v>
      </c>
      <c r="Z6" s="28" t="s">
        <v>879</v>
      </c>
      <c r="AA6" s="28">
        <v>0</v>
      </c>
      <c r="AB6" s="28">
        <v>2</v>
      </c>
      <c r="AC6" s="28" t="s">
        <v>847</v>
      </c>
      <c r="AD6" s="28" t="s">
        <v>880</v>
      </c>
      <c r="AE6" s="28"/>
      <c r="AF6" s="34">
        <v>0.9539</v>
      </c>
      <c r="AG6" s="32">
        <v>46175</v>
      </c>
      <c r="AH6" s="28"/>
      <c r="AI6" s="28">
        <v>0</v>
      </c>
      <c r="AJ6" s="28" t="s">
        <v>881</v>
      </c>
      <c r="AK6" s="28" t="s">
        <v>28</v>
      </c>
    </row>
    <row r="7" spans="1:37">
      <c r="A7" s="28">
        <v>946039</v>
      </c>
      <c r="B7" s="28" t="s">
        <v>858</v>
      </c>
      <c r="C7" s="28" t="s">
        <v>836</v>
      </c>
      <c r="D7" s="29" t="s">
        <v>882</v>
      </c>
      <c r="E7" s="30">
        <v>658000</v>
      </c>
      <c r="F7" s="30">
        <v>633236</v>
      </c>
      <c r="G7" s="30">
        <v>24764</v>
      </c>
      <c r="H7" s="30">
        <v>633236</v>
      </c>
      <c r="I7" s="28" t="s">
        <v>860</v>
      </c>
      <c r="J7" s="28" t="s">
        <v>11</v>
      </c>
      <c r="K7" s="28" t="s">
        <v>861</v>
      </c>
      <c r="L7" s="28" t="s">
        <v>840</v>
      </c>
      <c r="M7" s="28" t="s">
        <v>841</v>
      </c>
      <c r="N7" s="31">
        <v>45252</v>
      </c>
      <c r="O7" s="32">
        <v>46295</v>
      </c>
      <c r="P7" s="28" t="s">
        <v>841</v>
      </c>
      <c r="Q7" s="28" t="s">
        <v>862</v>
      </c>
      <c r="R7" s="28" t="s">
        <v>883</v>
      </c>
      <c r="S7" s="28" t="s">
        <v>843</v>
      </c>
      <c r="T7" s="28" t="s">
        <v>864</v>
      </c>
      <c r="U7" s="35">
        <v>119000000000000</v>
      </c>
      <c r="V7" s="32">
        <v>45863</v>
      </c>
      <c r="W7" s="32">
        <v>45881</v>
      </c>
      <c r="X7" s="32">
        <v>45895</v>
      </c>
      <c r="Y7" s="32">
        <v>45966</v>
      </c>
      <c r="Z7" s="28">
        <v>0</v>
      </c>
      <c r="AA7" s="28" t="s">
        <v>884</v>
      </c>
      <c r="AB7" s="28">
        <v>2</v>
      </c>
      <c r="AC7" s="28" t="s">
        <v>847</v>
      </c>
      <c r="AD7" s="28" t="s">
        <v>885</v>
      </c>
      <c r="AE7" s="28"/>
      <c r="AF7" s="34">
        <v>0.9624</v>
      </c>
      <c r="AG7" s="32">
        <v>46175</v>
      </c>
      <c r="AH7" s="28"/>
      <c r="AI7" s="28">
        <v>0</v>
      </c>
      <c r="AJ7" s="28" t="s">
        <v>50</v>
      </c>
      <c r="AK7" s="28" t="s">
        <v>28</v>
      </c>
    </row>
    <row r="8" spans="1:37">
      <c r="A8" s="28">
        <v>949176</v>
      </c>
      <c r="B8" s="28" t="s">
        <v>886</v>
      </c>
      <c r="C8" s="28" t="s">
        <v>836</v>
      </c>
      <c r="D8" s="29" t="s">
        <v>887</v>
      </c>
      <c r="E8" s="30">
        <v>590399.33</v>
      </c>
      <c r="F8" s="30">
        <v>238750</v>
      </c>
      <c r="G8" s="30">
        <v>351649.33</v>
      </c>
      <c r="H8" s="30">
        <v>0</v>
      </c>
      <c r="I8" s="28" t="s">
        <v>888</v>
      </c>
      <c r="J8" s="28" t="s">
        <v>11</v>
      </c>
      <c r="K8" s="28" t="s">
        <v>839</v>
      </c>
      <c r="L8" s="28" t="s">
        <v>840</v>
      </c>
      <c r="M8" s="28" t="s">
        <v>841</v>
      </c>
      <c r="N8" s="31">
        <v>45273</v>
      </c>
      <c r="O8" s="32">
        <v>46295</v>
      </c>
      <c r="P8" s="28" t="s">
        <v>841</v>
      </c>
      <c r="Q8" s="28" t="s">
        <v>862</v>
      </c>
      <c r="R8" s="28" t="s">
        <v>841</v>
      </c>
      <c r="S8" s="28" t="s">
        <v>841</v>
      </c>
      <c r="T8" s="28" t="s">
        <v>841</v>
      </c>
      <c r="U8" s="28" t="s">
        <v>841</v>
      </c>
      <c r="V8" s="28" t="s">
        <v>841</v>
      </c>
      <c r="W8" s="28" t="s">
        <v>841</v>
      </c>
      <c r="X8" s="28" t="s">
        <v>841</v>
      </c>
      <c r="Y8" s="28" t="s">
        <v>841</v>
      </c>
      <c r="Z8" s="28">
        <v>0</v>
      </c>
      <c r="AA8" s="28">
        <v>0</v>
      </c>
      <c r="AB8" s="28">
        <v>2</v>
      </c>
      <c r="AC8" s="28" t="s">
        <v>847</v>
      </c>
      <c r="AD8" s="28" t="s">
        <v>889</v>
      </c>
      <c r="AE8" s="28"/>
      <c r="AF8" s="34">
        <v>0.4044</v>
      </c>
      <c r="AG8" s="32">
        <v>46175</v>
      </c>
      <c r="AH8" s="28" t="s">
        <v>849</v>
      </c>
      <c r="AI8" s="28">
        <v>0</v>
      </c>
      <c r="AJ8" s="28" t="s">
        <v>718</v>
      </c>
      <c r="AK8" s="28" t="s">
        <v>24</v>
      </c>
    </row>
    <row r="9" spans="1:37">
      <c r="A9" s="28">
        <v>948637</v>
      </c>
      <c r="B9" s="28" t="s">
        <v>886</v>
      </c>
      <c r="C9" s="28" t="s">
        <v>836</v>
      </c>
      <c r="D9" s="29" t="s">
        <v>890</v>
      </c>
      <c r="E9" s="30">
        <v>732250</v>
      </c>
      <c r="F9" s="30">
        <v>716250</v>
      </c>
      <c r="G9" s="30">
        <v>16000</v>
      </c>
      <c r="H9" s="30">
        <v>0</v>
      </c>
      <c r="I9" s="28" t="s">
        <v>891</v>
      </c>
      <c r="J9" s="28" t="s">
        <v>11</v>
      </c>
      <c r="K9" s="28" t="s">
        <v>839</v>
      </c>
      <c r="L9" s="28" t="s">
        <v>840</v>
      </c>
      <c r="M9" s="28" t="s">
        <v>841</v>
      </c>
      <c r="N9" s="31">
        <v>45273</v>
      </c>
      <c r="O9" s="32">
        <v>46295</v>
      </c>
      <c r="P9" s="28" t="s">
        <v>841</v>
      </c>
      <c r="Q9" s="28" t="s">
        <v>862</v>
      </c>
      <c r="R9" s="28" t="s">
        <v>841</v>
      </c>
      <c r="S9" s="28" t="s">
        <v>841</v>
      </c>
      <c r="T9" s="28" t="s">
        <v>841</v>
      </c>
      <c r="U9" s="28" t="s">
        <v>841</v>
      </c>
      <c r="V9" s="28" t="s">
        <v>841</v>
      </c>
      <c r="W9" s="28" t="s">
        <v>841</v>
      </c>
      <c r="X9" s="28" t="s">
        <v>841</v>
      </c>
      <c r="Y9" s="28" t="s">
        <v>841</v>
      </c>
      <c r="Z9" s="28">
        <v>0</v>
      </c>
      <c r="AA9" s="28">
        <v>0</v>
      </c>
      <c r="AB9" s="28">
        <v>2</v>
      </c>
      <c r="AC9" s="28" t="s">
        <v>847</v>
      </c>
      <c r="AD9" s="28" t="s">
        <v>892</v>
      </c>
      <c r="AE9" s="28"/>
      <c r="AF9" s="34">
        <v>0.9781</v>
      </c>
      <c r="AG9" s="32">
        <v>46175</v>
      </c>
      <c r="AH9" s="28" t="s">
        <v>849</v>
      </c>
      <c r="AI9" s="28">
        <v>0</v>
      </c>
      <c r="AJ9" s="28" t="s">
        <v>577</v>
      </c>
      <c r="AK9" s="28" t="s">
        <v>47</v>
      </c>
    </row>
    <row r="10" spans="1:37">
      <c r="A10" s="28">
        <v>951943</v>
      </c>
      <c r="B10" s="28" t="s">
        <v>858</v>
      </c>
      <c r="C10" s="28" t="s">
        <v>836</v>
      </c>
      <c r="D10" s="29" t="s">
        <v>893</v>
      </c>
      <c r="E10" s="30">
        <v>502500</v>
      </c>
      <c r="F10" s="30">
        <v>477500</v>
      </c>
      <c r="G10" s="30">
        <v>25000</v>
      </c>
      <c r="H10" s="30">
        <v>477500</v>
      </c>
      <c r="I10" s="28" t="s">
        <v>860</v>
      </c>
      <c r="J10" s="28" t="s">
        <v>11</v>
      </c>
      <c r="K10" s="28" t="s">
        <v>861</v>
      </c>
      <c r="L10" s="28" t="s">
        <v>894</v>
      </c>
      <c r="M10" s="28" t="s">
        <v>841</v>
      </c>
      <c r="N10" s="31">
        <v>45275</v>
      </c>
      <c r="O10" s="32">
        <v>46295</v>
      </c>
      <c r="P10" s="28" t="s">
        <v>841</v>
      </c>
      <c r="Q10" s="28" t="s">
        <v>862</v>
      </c>
      <c r="R10" s="28" t="s">
        <v>895</v>
      </c>
      <c r="S10" s="28" t="s">
        <v>843</v>
      </c>
      <c r="T10" s="28" t="s">
        <v>864</v>
      </c>
      <c r="U10" s="28">
        <v>2170202304</v>
      </c>
      <c r="V10" s="32">
        <v>45714</v>
      </c>
      <c r="W10" s="32">
        <v>45737</v>
      </c>
      <c r="X10" s="32">
        <v>45757</v>
      </c>
      <c r="Y10" s="32">
        <v>45845</v>
      </c>
      <c r="Z10" s="28" t="s">
        <v>896</v>
      </c>
      <c r="AA10" s="28" t="s">
        <v>897</v>
      </c>
      <c r="AB10" s="28">
        <v>2</v>
      </c>
      <c r="AC10" s="28" t="s">
        <v>847</v>
      </c>
      <c r="AD10" s="28" t="s">
        <v>898</v>
      </c>
      <c r="AE10" s="28"/>
      <c r="AF10" s="34">
        <v>0.9502</v>
      </c>
      <c r="AG10" s="32">
        <v>46175</v>
      </c>
      <c r="AH10" s="28"/>
      <c r="AI10" s="28">
        <v>0</v>
      </c>
      <c r="AJ10" s="28" t="s">
        <v>899</v>
      </c>
      <c r="AK10" s="28" t="s">
        <v>28</v>
      </c>
    </row>
    <row r="11" spans="1:37">
      <c r="A11" s="28">
        <v>947792</v>
      </c>
      <c r="B11" s="28" t="s">
        <v>900</v>
      </c>
      <c r="C11" s="28" t="s">
        <v>836</v>
      </c>
      <c r="D11" s="29" t="s">
        <v>901</v>
      </c>
      <c r="E11" s="30">
        <v>464580</v>
      </c>
      <c r="F11" s="30">
        <v>464580</v>
      </c>
      <c r="G11" s="30">
        <v>0</v>
      </c>
      <c r="H11" s="30">
        <v>0</v>
      </c>
      <c r="I11" s="28" t="s">
        <v>902</v>
      </c>
      <c r="J11" s="28" t="s">
        <v>11</v>
      </c>
      <c r="K11" s="28" t="s">
        <v>903</v>
      </c>
      <c r="L11" s="28" t="s">
        <v>840</v>
      </c>
      <c r="M11" s="28" t="s">
        <v>841</v>
      </c>
      <c r="N11" s="31">
        <v>45289</v>
      </c>
      <c r="O11" s="32">
        <v>46295</v>
      </c>
      <c r="P11" s="28" t="s">
        <v>841</v>
      </c>
      <c r="Q11" s="28" t="s">
        <v>862</v>
      </c>
      <c r="R11" s="28" t="s">
        <v>841</v>
      </c>
      <c r="S11" s="28" t="s">
        <v>841</v>
      </c>
      <c r="T11" s="28" t="s">
        <v>841</v>
      </c>
      <c r="U11" s="28" t="s">
        <v>841</v>
      </c>
      <c r="V11" s="28" t="s">
        <v>841</v>
      </c>
      <c r="W11" s="28" t="s">
        <v>841</v>
      </c>
      <c r="X11" s="28" t="s">
        <v>841</v>
      </c>
      <c r="Y11" s="28" t="s">
        <v>841</v>
      </c>
      <c r="Z11" s="28">
        <v>0</v>
      </c>
      <c r="AA11" s="28">
        <v>0</v>
      </c>
      <c r="AB11" s="28">
        <v>2</v>
      </c>
      <c r="AC11" s="28" t="s">
        <v>847</v>
      </c>
      <c r="AD11" s="28">
        <v>0</v>
      </c>
      <c r="AE11" s="28"/>
      <c r="AF11" s="34">
        <v>1</v>
      </c>
      <c r="AG11" s="32">
        <v>46175</v>
      </c>
      <c r="AH11" s="28" t="s">
        <v>849</v>
      </c>
      <c r="AI11" s="28">
        <v>0</v>
      </c>
      <c r="AJ11" s="28" t="s">
        <v>36</v>
      </c>
      <c r="AK11" s="28" t="s">
        <v>36</v>
      </c>
    </row>
    <row r="12" spans="1:37">
      <c r="A12" s="28">
        <v>943508</v>
      </c>
      <c r="B12" s="28" t="s">
        <v>874</v>
      </c>
      <c r="C12" s="28" t="s">
        <v>836</v>
      </c>
      <c r="D12" s="29" t="s">
        <v>904</v>
      </c>
      <c r="E12" s="30">
        <v>1437500</v>
      </c>
      <c r="F12" s="30">
        <v>1432500</v>
      </c>
      <c r="G12" s="30">
        <v>5000</v>
      </c>
      <c r="H12" s="30"/>
      <c r="I12" s="28" t="s">
        <v>905</v>
      </c>
      <c r="J12" s="28" t="s">
        <v>906</v>
      </c>
      <c r="K12" s="28" t="s">
        <v>907</v>
      </c>
      <c r="L12" s="28" t="s">
        <v>840</v>
      </c>
      <c r="M12" s="28" t="s">
        <v>841</v>
      </c>
      <c r="N12" s="31">
        <v>45271</v>
      </c>
      <c r="O12" s="31">
        <v>46367</v>
      </c>
      <c r="P12" s="28" t="s">
        <v>841</v>
      </c>
      <c r="Q12" s="28" t="s">
        <v>862</v>
      </c>
      <c r="R12" s="28" t="s">
        <v>908</v>
      </c>
      <c r="S12" s="28" t="s">
        <v>843</v>
      </c>
      <c r="T12" s="28" t="s">
        <v>864</v>
      </c>
      <c r="U12" s="35">
        <v>16003000000000</v>
      </c>
      <c r="V12" s="32">
        <v>45736</v>
      </c>
      <c r="W12" s="32">
        <v>45748</v>
      </c>
      <c r="X12" s="32">
        <v>45761</v>
      </c>
      <c r="Y12" s="32">
        <v>45796</v>
      </c>
      <c r="Z12" s="28" t="s">
        <v>909</v>
      </c>
      <c r="AA12" s="28" t="s">
        <v>910</v>
      </c>
      <c r="AB12" s="28">
        <v>2</v>
      </c>
      <c r="AC12" s="28" t="s">
        <v>911</v>
      </c>
      <c r="AD12" s="28" t="s">
        <v>912</v>
      </c>
      <c r="AE12" s="28"/>
      <c r="AF12" s="34">
        <v>0.9965</v>
      </c>
      <c r="AG12" s="31">
        <v>46247</v>
      </c>
      <c r="AH12" s="28"/>
      <c r="AI12" s="28">
        <v>0</v>
      </c>
      <c r="AJ12" s="28" t="s">
        <v>913</v>
      </c>
      <c r="AK12" s="28" t="s">
        <v>28</v>
      </c>
    </row>
    <row r="13" spans="1:37">
      <c r="A13" s="28">
        <v>952826</v>
      </c>
      <c r="B13" s="28" t="s">
        <v>858</v>
      </c>
      <c r="C13" s="28" t="s">
        <v>836</v>
      </c>
      <c r="D13" s="29" t="s">
        <v>914</v>
      </c>
      <c r="E13" s="30">
        <v>497000</v>
      </c>
      <c r="F13" s="30">
        <v>477000</v>
      </c>
      <c r="G13" s="30">
        <v>20000</v>
      </c>
      <c r="H13" s="30">
        <v>477000</v>
      </c>
      <c r="I13" s="28" t="s">
        <v>915</v>
      </c>
      <c r="J13" s="28" t="s">
        <v>11</v>
      </c>
      <c r="K13" s="28" t="s">
        <v>916</v>
      </c>
      <c r="L13" s="28" t="s">
        <v>840</v>
      </c>
      <c r="M13" s="28" t="s">
        <v>841</v>
      </c>
      <c r="N13" s="31">
        <v>45288</v>
      </c>
      <c r="O13" s="31">
        <v>46384</v>
      </c>
      <c r="P13" s="28" t="s">
        <v>841</v>
      </c>
      <c r="Q13" s="28" t="s">
        <v>862</v>
      </c>
      <c r="R13" s="28" t="s">
        <v>917</v>
      </c>
      <c r="S13" s="28" t="s">
        <v>843</v>
      </c>
      <c r="T13" s="28" t="s">
        <v>864</v>
      </c>
      <c r="U13" s="35">
        <v>224000000000000</v>
      </c>
      <c r="V13" s="32">
        <v>45833</v>
      </c>
      <c r="W13" s="32">
        <v>45849</v>
      </c>
      <c r="X13" s="31">
        <v>45975</v>
      </c>
      <c r="Y13" s="31">
        <v>46008</v>
      </c>
      <c r="Z13" s="28">
        <v>0</v>
      </c>
      <c r="AA13" s="28" t="s">
        <v>918</v>
      </c>
      <c r="AB13" s="28">
        <v>2</v>
      </c>
      <c r="AC13" s="28" t="s">
        <v>847</v>
      </c>
      <c r="AD13" s="28" t="s">
        <v>919</v>
      </c>
      <c r="AE13" s="28"/>
      <c r="AF13" s="34">
        <v>0.9598</v>
      </c>
      <c r="AG13" s="31">
        <v>46264</v>
      </c>
      <c r="AH13" s="28"/>
      <c r="AI13" s="28">
        <v>0</v>
      </c>
      <c r="AJ13" s="28" t="s">
        <v>416</v>
      </c>
      <c r="AK13" s="28" t="s">
        <v>67</v>
      </c>
    </row>
    <row r="14" spans="1:37">
      <c r="A14" s="28">
        <v>954699</v>
      </c>
      <c r="B14" s="28" t="s">
        <v>858</v>
      </c>
      <c r="C14" s="28" t="s">
        <v>836</v>
      </c>
      <c r="D14" s="29" t="s">
        <v>920</v>
      </c>
      <c r="E14" s="30">
        <v>9800000</v>
      </c>
      <c r="F14" s="30">
        <v>9575191</v>
      </c>
      <c r="G14" s="30">
        <v>224809</v>
      </c>
      <c r="H14" s="30"/>
      <c r="I14" s="28" t="s">
        <v>921</v>
      </c>
      <c r="J14" s="28" t="s">
        <v>11</v>
      </c>
      <c r="K14" s="28" t="s">
        <v>922</v>
      </c>
      <c r="L14" s="28" t="s">
        <v>840</v>
      </c>
      <c r="M14" s="28" t="s">
        <v>841</v>
      </c>
      <c r="N14" s="31">
        <v>45289</v>
      </c>
      <c r="O14" s="31">
        <v>46750</v>
      </c>
      <c r="P14" s="28" t="s">
        <v>841</v>
      </c>
      <c r="Q14" s="28" t="s">
        <v>862</v>
      </c>
      <c r="R14" s="28">
        <v>22025</v>
      </c>
      <c r="S14" s="28" t="s">
        <v>843</v>
      </c>
      <c r="T14" s="28" t="s">
        <v>864</v>
      </c>
      <c r="U14" s="28">
        <v>222025</v>
      </c>
      <c r="V14" s="32">
        <v>45737</v>
      </c>
      <c r="W14" s="32">
        <v>45751</v>
      </c>
      <c r="X14" s="32">
        <v>45807</v>
      </c>
      <c r="Y14" s="32">
        <v>45810</v>
      </c>
      <c r="Z14" s="28" t="s">
        <v>923</v>
      </c>
      <c r="AA14" s="28" t="s">
        <v>924</v>
      </c>
      <c r="AB14" s="28">
        <v>2</v>
      </c>
      <c r="AC14" s="28" t="s">
        <v>847</v>
      </c>
      <c r="AD14" s="28" t="s">
        <v>925</v>
      </c>
      <c r="AE14" s="28"/>
      <c r="AF14" s="34">
        <v>0.9771</v>
      </c>
      <c r="AG14" s="31">
        <v>46630</v>
      </c>
      <c r="AH14" s="28"/>
      <c r="AI14" s="28">
        <v>0</v>
      </c>
      <c r="AJ14" s="28" t="s">
        <v>926</v>
      </c>
      <c r="AK14" s="28" t="s">
        <v>926</v>
      </c>
    </row>
    <row r="15" spans="1:37">
      <c r="A15" s="28">
        <v>954698</v>
      </c>
      <c r="B15" s="28" t="s">
        <v>858</v>
      </c>
      <c r="C15" s="28" t="s">
        <v>836</v>
      </c>
      <c r="D15" s="29" t="s">
        <v>927</v>
      </c>
      <c r="E15" s="30">
        <v>6770789.52</v>
      </c>
      <c r="F15" s="30">
        <v>6703752</v>
      </c>
      <c r="G15" s="30">
        <v>67037.52</v>
      </c>
      <c r="H15" s="30">
        <v>335187.6</v>
      </c>
      <c r="I15" s="28" t="s">
        <v>928</v>
      </c>
      <c r="J15" s="28" t="s">
        <v>11</v>
      </c>
      <c r="K15" s="28" t="s">
        <v>929</v>
      </c>
      <c r="L15" s="28" t="s">
        <v>840</v>
      </c>
      <c r="M15" s="28" t="s">
        <v>841</v>
      </c>
      <c r="N15" s="31">
        <v>45289</v>
      </c>
      <c r="O15" s="31">
        <v>46750</v>
      </c>
      <c r="P15" s="28" t="s">
        <v>841</v>
      </c>
      <c r="Q15" s="28" t="s">
        <v>862</v>
      </c>
      <c r="R15" s="28" t="s">
        <v>841</v>
      </c>
      <c r="S15" s="28" t="s">
        <v>841</v>
      </c>
      <c r="T15" s="28" t="s">
        <v>841</v>
      </c>
      <c r="U15" s="28" t="s">
        <v>841</v>
      </c>
      <c r="V15" s="28" t="s">
        <v>841</v>
      </c>
      <c r="W15" s="28" t="s">
        <v>841</v>
      </c>
      <c r="X15" s="28" t="s">
        <v>841</v>
      </c>
      <c r="Y15" s="28" t="s">
        <v>841</v>
      </c>
      <c r="Z15" s="28">
        <v>0</v>
      </c>
      <c r="AA15" s="28" t="s">
        <v>930</v>
      </c>
      <c r="AB15" s="28">
        <v>2</v>
      </c>
      <c r="AC15" s="28" t="s">
        <v>847</v>
      </c>
      <c r="AD15" s="28" t="s">
        <v>923</v>
      </c>
      <c r="AE15" s="28"/>
      <c r="AF15" s="34">
        <v>0.7089</v>
      </c>
      <c r="AG15" s="31">
        <v>46630</v>
      </c>
      <c r="AH15" s="28"/>
      <c r="AI15" s="28" t="s">
        <v>923</v>
      </c>
      <c r="AJ15" s="28" t="s">
        <v>926</v>
      </c>
      <c r="AK15" s="28" t="s">
        <v>926</v>
      </c>
    </row>
    <row r="16" spans="1:37">
      <c r="A16" s="28">
        <v>947656</v>
      </c>
      <c r="B16" s="28" t="s">
        <v>858</v>
      </c>
      <c r="C16" s="28" t="s">
        <v>836</v>
      </c>
      <c r="D16" s="29" t="s">
        <v>931</v>
      </c>
      <c r="E16" s="30">
        <v>28762500</v>
      </c>
      <c r="F16" s="30">
        <v>28732279</v>
      </c>
      <c r="G16" s="30">
        <v>30221</v>
      </c>
      <c r="H16" s="30"/>
      <c r="I16" s="28" t="s">
        <v>932</v>
      </c>
      <c r="J16" s="28" t="s">
        <v>933</v>
      </c>
      <c r="K16" s="28" t="s">
        <v>907</v>
      </c>
      <c r="L16" s="28" t="s">
        <v>840</v>
      </c>
      <c r="M16" s="28" t="s">
        <v>841</v>
      </c>
      <c r="N16" s="31">
        <v>45271</v>
      </c>
      <c r="O16" s="31">
        <v>47098</v>
      </c>
      <c r="P16" s="28" t="s">
        <v>841</v>
      </c>
      <c r="Q16" s="28" t="s">
        <v>862</v>
      </c>
      <c r="R16" s="28" t="s">
        <v>934</v>
      </c>
      <c r="S16" s="28" t="s">
        <v>843</v>
      </c>
      <c r="T16" s="28" t="s">
        <v>864</v>
      </c>
      <c r="U16" s="35">
        <v>16003000000000</v>
      </c>
      <c r="V16" s="31">
        <v>45972</v>
      </c>
      <c r="W16" s="31">
        <v>45986</v>
      </c>
      <c r="X16" s="32">
        <v>46036</v>
      </c>
      <c r="Y16" s="32">
        <v>46079</v>
      </c>
      <c r="Z16" s="28">
        <v>0</v>
      </c>
      <c r="AA16" s="28" t="s">
        <v>923</v>
      </c>
      <c r="AB16" s="28">
        <v>8</v>
      </c>
      <c r="AC16" s="28" t="s">
        <v>911</v>
      </c>
      <c r="AD16" s="28" t="s">
        <v>935</v>
      </c>
      <c r="AE16" s="28"/>
      <c r="AF16" s="34">
        <v>0.9989</v>
      </c>
      <c r="AG16" s="31">
        <v>46978</v>
      </c>
      <c r="AH16" s="28"/>
      <c r="AI16" s="28">
        <v>0</v>
      </c>
      <c r="AJ16" s="28" t="s">
        <v>926</v>
      </c>
      <c r="AK16" s="28" t="s">
        <v>926</v>
      </c>
    </row>
    <row r="17" spans="1:37">
      <c r="A17" s="28">
        <v>954697</v>
      </c>
      <c r="B17" s="28" t="s">
        <v>858</v>
      </c>
      <c r="C17" s="28" t="s">
        <v>836</v>
      </c>
      <c r="D17" s="29" t="s">
        <v>936</v>
      </c>
      <c r="E17" s="30">
        <v>28763000</v>
      </c>
      <c r="F17" s="30">
        <v>28732279</v>
      </c>
      <c r="G17" s="30">
        <v>30721</v>
      </c>
      <c r="H17" s="30">
        <v>0</v>
      </c>
      <c r="I17" s="28" t="s">
        <v>937</v>
      </c>
      <c r="J17" s="28" t="s">
        <v>11</v>
      </c>
      <c r="K17" s="28" t="s">
        <v>907</v>
      </c>
      <c r="L17" s="28" t="s">
        <v>840</v>
      </c>
      <c r="M17" s="28" t="s">
        <v>841</v>
      </c>
      <c r="N17" s="31">
        <v>45289</v>
      </c>
      <c r="O17" s="31">
        <v>47116</v>
      </c>
      <c r="P17" s="28" t="s">
        <v>841</v>
      </c>
      <c r="Q17" s="28" t="s">
        <v>862</v>
      </c>
      <c r="R17" s="28" t="s">
        <v>938</v>
      </c>
      <c r="S17" s="28" t="s">
        <v>843</v>
      </c>
      <c r="T17" s="28" t="s">
        <v>864</v>
      </c>
      <c r="U17" s="35">
        <v>16003000000000</v>
      </c>
      <c r="V17" s="31">
        <v>45945</v>
      </c>
      <c r="W17" s="31">
        <v>45960</v>
      </c>
      <c r="X17" s="31">
        <v>46001</v>
      </c>
      <c r="Y17" s="32">
        <v>46094</v>
      </c>
      <c r="Z17" s="28">
        <v>0</v>
      </c>
      <c r="AA17" s="28">
        <v>0</v>
      </c>
      <c r="AB17" s="28">
        <v>2</v>
      </c>
      <c r="AC17" s="28" t="s">
        <v>847</v>
      </c>
      <c r="AD17" s="28" t="s">
        <v>939</v>
      </c>
      <c r="AE17" s="28"/>
      <c r="AF17" s="34">
        <v>0.9989</v>
      </c>
      <c r="AG17" s="31">
        <v>46996</v>
      </c>
      <c r="AH17" s="28" t="s">
        <v>849</v>
      </c>
      <c r="AI17" s="28">
        <v>0</v>
      </c>
      <c r="AJ17" s="28" t="s">
        <v>926</v>
      </c>
      <c r="AK17" s="28" t="s">
        <v>926</v>
      </c>
    </row>
  </sheetData>
  <autoFilter xmlns:etc="http://www.wps.cn/officeDocument/2017/etCustomData" ref="A1:AK17" etc:filterBottomFollowUsedRange="0">
    <extLst/>
  </autoFilter>
  <hyperlinks>
    <hyperlink ref="D2" r:id="rId1" display="https://discricionarias.transferegov.sistema.gov.br/voluntarias/ConsultarProposta/ResultadoDaConsultaDePropostaDetalharProposta.do?idProposta=1899654&amp;Usr=guest&amp;Pwd=guest"/>
    <hyperlink ref="D3" r:id="rId2" display="https://discricionarias.transferegov.sistema.gov.br/voluntarias/ConsultarProposta/ResultadoDaConsultaDePropostaDetalharProposta.do?idProposta=1932288&amp;Usr=guest&amp;Pwd=guest"/>
    <hyperlink ref="D4" r:id="rId3" display="https://discricionarias.transferegov.sistema.gov.br/voluntarias/ConsultarProposta/ResultadoDaConsultaDePropostaDetalharProposta.do?idProposta=1905300&amp;Usr=guest&amp;Pwd=guest"/>
    <hyperlink ref="D5" r:id="rId4" display="https://discricionarias.transferegov.sistema.gov.br/voluntarias/ConsultarProposta/ResultadoDaConsultaDePropostaDetalharProposta.do?idProposta=1908081&amp;Usr=guest&amp;Pwd=guest"/>
    <hyperlink ref="D6" r:id="rId5" display="https://discricionarias.transferegov.sistema.gov.br/voluntarias/ConsultarProposta/ResultadoDaConsultaDePropostaDetalharProposta.do?idProposta=1886452&amp;Usr=guest&amp;Pwd=guest"/>
    <hyperlink ref="D7" r:id="rId6" display="https://discricionarias.transferegov.sistema.gov.br/voluntarias/ConsultarProposta/ResultadoDaConsultaDePropostaDetalharProposta.do?idProposta=1905302&amp;Usr=guest&amp;Pwd=guest"/>
    <hyperlink ref="D8" r:id="rId7" display="https://discricionarias.transferegov.sistema.gov.br/voluntarias/ConsultarProposta/ResultadoDaConsultaDePropostaDetalharProposta.do?idProposta=1915711&amp;Usr=guest&amp;Pwd=guest"/>
    <hyperlink ref="D9" r:id="rId8" display="https://discricionarias.transferegov.sistema.gov.br/voluntarias/ConsultarProposta/ResultadoDaConsultaDePropostaDetalharProposta.do?idProposta=1915658&amp;Usr=guest&amp;Pwd=guest"/>
    <hyperlink ref="D10" r:id="rId9" display="https://discricionarias.transferegov.sistema.gov.br/voluntarias/ConsultarProposta/ResultadoDaConsultaDePropostaDetalharProposta.do?idProposta=1939922&amp;Usr=guest&amp;Pwd=guest"/>
    <hyperlink ref="D11" r:id="rId10" display="https://discricionarias.transferegov.sistema.gov.br/voluntarias/ConsultarProposta/ResultadoDaConsultaDePropostaDetalharProposta.do?idProposta=1930696&amp;Usr=guest&amp;Pwd=guest"/>
    <hyperlink ref="D12" r:id="rId11" display="https://discricionarias.transferegov.sistema.gov.br/voluntarias/ConsultarProposta/ResultadoDaConsultaDePropostaDetalharProposta.do?idProposta=1890231&amp;Usr=guest&amp;Pwd=guest"/>
    <hyperlink ref="D13" r:id="rId12" display="https://discricionarias.transferegov.sistema.gov.br/voluntarias/ConsultarProposta/ResultadoDaConsultaDePropostaDetalharProposta.do?idProposta=1944090&amp;Usr=guest&amp;Pwd=guest"/>
    <hyperlink ref="D14" r:id="rId13" display="https://discricionarias.transferegov.sistema.gov.br/voluntarias/ConsultarProposta/ResultadoDaConsultaDePropostaDetalharProposta.do?idProposta=1950039&amp;Usr=guest&amp;Pwd=guest"/>
    <hyperlink ref="D15" r:id="rId14" display="https://discricionarias.transferegov.sistema.gov.br/voluntarias/ConsultarProposta/ResultadoDaConsultaDePropostaDetalharProposta.do?idProposta=1950041&amp;Usr=guest&amp;Pwd=guest"/>
    <hyperlink ref="D16" r:id="rId15" display="https://discricionarias.transferegov.sistema.gov.br/voluntarias/ConsultarProposta/ResultadoDaConsultaDePropostaDetalharProposta.do?idProposta=1903068&amp;Usr=guest&amp;Pwd=guest"/>
    <hyperlink ref="D17" r:id="rId16" display="https://discricionarias.transferegov.sistema.gov.br/voluntarias/ConsultarProposta/ResultadoDaConsultaDePropostaDetalharProposta.do?idProposta=1947936&amp;Usr=guest&amp;Pwd=guest"/>
  </hyperlinks>
  <pageMargins left="0.511811024" right="0.511811024" top="0.787401575" bottom="0.787401575" header="0.31496062" footer="0.31496062"/>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66"/>
  <sheetViews>
    <sheetView workbookViewId="0">
      <selection activeCell="C142" sqref="C142"/>
    </sheetView>
  </sheetViews>
  <sheetFormatPr defaultColWidth="12.5714285714286" defaultRowHeight="15" outlineLevelCol="7"/>
  <cols>
    <col min="2" max="2" width="9.42857142857143" customWidth="1"/>
    <col min="3" max="3" width="51.2857142857143" customWidth="1"/>
    <col min="5" max="5" width="12" customWidth="1"/>
    <col min="6" max="6" width="17.4285714285714" style="13" customWidth="1"/>
    <col min="7" max="7" width="30" style="3" customWidth="1"/>
    <col min="8" max="8" width="12.5714285714286" style="3"/>
  </cols>
  <sheetData>
    <row r="1" s="12" customFormat="1" ht="15.75" customHeight="1" spans="1:8">
      <c r="A1" s="2" t="s">
        <v>940</v>
      </c>
      <c r="B1" s="2" t="s">
        <v>941</v>
      </c>
      <c r="C1" s="2" t="s">
        <v>942</v>
      </c>
      <c r="D1" s="2" t="s">
        <v>943</v>
      </c>
      <c r="E1" s="2" t="s">
        <v>1</v>
      </c>
      <c r="F1" s="14" t="s">
        <v>944</v>
      </c>
      <c r="G1" s="2" t="s">
        <v>9</v>
      </c>
      <c r="H1" s="2" t="s">
        <v>10</v>
      </c>
    </row>
    <row r="2" ht="15.75" customHeight="1" spans="1:8">
      <c r="A2" s="15" t="s">
        <v>945</v>
      </c>
      <c r="B2" s="16" t="s">
        <v>69</v>
      </c>
      <c r="C2" s="8" t="s">
        <v>946</v>
      </c>
      <c r="D2" s="17"/>
      <c r="E2" s="16" t="s">
        <v>11</v>
      </c>
      <c r="F2" s="18">
        <v>1242.48</v>
      </c>
      <c r="G2" s="19" t="s">
        <v>543</v>
      </c>
      <c r="H2" s="19" t="s">
        <v>81</v>
      </c>
    </row>
    <row r="3" ht="15.75" customHeight="1" spans="1:8">
      <c r="A3" s="15" t="s">
        <v>945</v>
      </c>
      <c r="B3" s="16" t="s">
        <v>69</v>
      </c>
      <c r="C3" s="8" t="s">
        <v>947</v>
      </c>
      <c r="D3" s="17"/>
      <c r="E3" s="16" t="s">
        <v>11</v>
      </c>
      <c r="F3" s="18">
        <v>1398.51</v>
      </c>
      <c r="G3" s="20" t="s">
        <v>948</v>
      </c>
      <c r="H3" s="20" t="s">
        <v>81</v>
      </c>
    </row>
    <row r="4" ht="15.75" customHeight="1" spans="1:8">
      <c r="A4" s="15" t="s">
        <v>945</v>
      </c>
      <c r="B4" s="16" t="s">
        <v>69</v>
      </c>
      <c r="C4" s="8" t="s">
        <v>949</v>
      </c>
      <c r="D4" s="17"/>
      <c r="E4" s="16" t="s">
        <v>11</v>
      </c>
      <c r="F4" s="18">
        <v>1880.78</v>
      </c>
      <c r="G4" s="20" t="s">
        <v>950</v>
      </c>
      <c r="H4" s="20" t="s">
        <v>81</v>
      </c>
    </row>
    <row r="5" ht="15.75" customHeight="1" spans="1:8">
      <c r="A5" s="15" t="s">
        <v>945</v>
      </c>
      <c r="B5" s="16" t="s">
        <v>69</v>
      </c>
      <c r="C5" s="8" t="s">
        <v>951</v>
      </c>
      <c r="D5" s="17"/>
      <c r="E5" s="16" t="s">
        <v>11</v>
      </c>
      <c r="F5" s="18">
        <v>2000</v>
      </c>
      <c r="G5" s="20" t="s">
        <v>74</v>
      </c>
      <c r="H5" s="20" t="s">
        <v>24</v>
      </c>
    </row>
    <row r="6" ht="15.75" customHeight="1" spans="1:8">
      <c r="A6" s="15" t="s">
        <v>945</v>
      </c>
      <c r="B6" s="16" t="s">
        <v>69</v>
      </c>
      <c r="C6" s="8" t="s">
        <v>952</v>
      </c>
      <c r="D6" s="17"/>
      <c r="E6" s="16" t="s">
        <v>11</v>
      </c>
      <c r="F6" s="18">
        <v>2086.21</v>
      </c>
      <c r="G6" s="20" t="s">
        <v>953</v>
      </c>
      <c r="H6" s="20" t="s">
        <v>81</v>
      </c>
    </row>
    <row r="7" ht="15.75" customHeight="1" spans="1:8">
      <c r="A7" s="15" t="s">
        <v>945</v>
      </c>
      <c r="B7" s="16" t="s">
        <v>69</v>
      </c>
      <c r="C7" s="8" t="s">
        <v>947</v>
      </c>
      <c r="D7" s="17"/>
      <c r="E7" s="16" t="s">
        <v>11</v>
      </c>
      <c r="F7" s="18">
        <v>2500</v>
      </c>
      <c r="G7" s="20" t="s">
        <v>948</v>
      </c>
      <c r="H7" s="20" t="s">
        <v>81</v>
      </c>
    </row>
    <row r="8" ht="15.75" customHeight="1" spans="1:8">
      <c r="A8" s="15" t="s">
        <v>945</v>
      </c>
      <c r="B8" s="16" t="s">
        <v>69</v>
      </c>
      <c r="C8" s="8" t="s">
        <v>954</v>
      </c>
      <c r="D8" s="17"/>
      <c r="E8" s="16" t="s">
        <v>11</v>
      </c>
      <c r="F8" s="18">
        <v>2585</v>
      </c>
      <c r="G8" s="20" t="s">
        <v>254</v>
      </c>
      <c r="H8" s="20" t="s">
        <v>24</v>
      </c>
    </row>
    <row r="9" ht="15.75" customHeight="1" spans="1:8">
      <c r="A9" s="15" t="s">
        <v>945</v>
      </c>
      <c r="B9" s="16" t="s">
        <v>69</v>
      </c>
      <c r="C9" s="8" t="s">
        <v>955</v>
      </c>
      <c r="D9" s="17"/>
      <c r="E9" s="16" t="s">
        <v>11</v>
      </c>
      <c r="F9" s="18">
        <v>2743.72</v>
      </c>
      <c r="G9" s="20" t="s">
        <v>179</v>
      </c>
      <c r="H9" s="20" t="s">
        <v>81</v>
      </c>
    </row>
    <row r="10" spans="1:8">
      <c r="A10" s="15" t="s">
        <v>945</v>
      </c>
      <c r="B10" s="16" t="s">
        <v>69</v>
      </c>
      <c r="C10" s="8" t="s">
        <v>956</v>
      </c>
      <c r="D10" s="17"/>
      <c r="E10" s="16" t="s">
        <v>11</v>
      </c>
      <c r="F10" s="18">
        <v>2955.05</v>
      </c>
      <c r="G10" s="20" t="s">
        <v>36</v>
      </c>
      <c r="H10" s="20" t="s">
        <v>36</v>
      </c>
    </row>
    <row r="11" spans="1:8">
      <c r="A11" s="15" t="s">
        <v>945</v>
      </c>
      <c r="B11" s="16" t="s">
        <v>69</v>
      </c>
      <c r="C11" s="8" t="s">
        <v>954</v>
      </c>
      <c r="D11" s="17"/>
      <c r="E11" s="16" t="s">
        <v>11</v>
      </c>
      <c r="F11" s="18">
        <v>3186.48</v>
      </c>
      <c r="G11" s="20" t="s">
        <v>254</v>
      </c>
      <c r="H11" s="20" t="s">
        <v>24</v>
      </c>
    </row>
    <row r="12" spans="1:8">
      <c r="A12" s="15" t="s">
        <v>945</v>
      </c>
      <c r="B12" s="16" t="s">
        <v>69</v>
      </c>
      <c r="C12" s="8" t="s">
        <v>954</v>
      </c>
      <c r="D12" s="17"/>
      <c r="E12" s="16" t="s">
        <v>11</v>
      </c>
      <c r="F12" s="18">
        <v>3231.19</v>
      </c>
      <c r="G12" s="20" t="s">
        <v>957</v>
      </c>
      <c r="H12" s="20" t="s">
        <v>137</v>
      </c>
    </row>
    <row r="13" spans="1:8">
      <c r="A13" s="16" t="s">
        <v>945</v>
      </c>
      <c r="B13" s="16" t="s">
        <v>69</v>
      </c>
      <c r="C13" s="8" t="s">
        <v>958</v>
      </c>
      <c r="D13" s="17"/>
      <c r="E13" s="16" t="s">
        <v>11</v>
      </c>
      <c r="F13" s="18">
        <v>3298.06</v>
      </c>
      <c r="G13" s="20" t="s">
        <v>462</v>
      </c>
      <c r="H13" s="20" t="s">
        <v>47</v>
      </c>
    </row>
    <row r="14" spans="1:8">
      <c r="A14" s="15" t="s">
        <v>945</v>
      </c>
      <c r="B14" s="16" t="s">
        <v>69</v>
      </c>
      <c r="C14" s="8" t="s">
        <v>959</v>
      </c>
      <c r="D14" s="17"/>
      <c r="E14" s="16" t="s">
        <v>11</v>
      </c>
      <c r="F14" s="18">
        <v>3567</v>
      </c>
      <c r="G14" s="20" t="s">
        <v>43</v>
      </c>
      <c r="H14" s="20" t="s">
        <v>24</v>
      </c>
    </row>
    <row r="15" spans="1:8">
      <c r="A15" s="16" t="s">
        <v>945</v>
      </c>
      <c r="B15" s="16" t="s">
        <v>69</v>
      </c>
      <c r="C15" s="8" t="s">
        <v>960</v>
      </c>
      <c r="D15" s="17"/>
      <c r="E15" s="16" t="s">
        <v>11</v>
      </c>
      <c r="F15" s="18">
        <v>3828.09</v>
      </c>
      <c r="G15" s="20" t="s">
        <v>210</v>
      </c>
      <c r="H15" s="20" t="s">
        <v>36</v>
      </c>
    </row>
    <row r="16" spans="1:8">
      <c r="A16" s="15" t="s">
        <v>945</v>
      </c>
      <c r="B16" s="16" t="s">
        <v>69</v>
      </c>
      <c r="C16" s="8" t="s">
        <v>961</v>
      </c>
      <c r="D16" s="17"/>
      <c r="E16" s="16" t="s">
        <v>11</v>
      </c>
      <c r="F16" s="18">
        <v>3915</v>
      </c>
      <c r="G16" s="20" t="s">
        <v>962</v>
      </c>
      <c r="H16" s="20" t="s">
        <v>47</v>
      </c>
    </row>
    <row r="17" spans="1:8">
      <c r="A17" s="15" t="s">
        <v>945</v>
      </c>
      <c r="B17" s="16" t="s">
        <v>69</v>
      </c>
      <c r="C17" s="8" t="s">
        <v>949</v>
      </c>
      <c r="D17" s="17"/>
      <c r="E17" s="16" t="s">
        <v>11</v>
      </c>
      <c r="F17" s="18">
        <v>3961.42</v>
      </c>
      <c r="G17" s="20" t="s">
        <v>950</v>
      </c>
      <c r="H17" s="20" t="s">
        <v>81</v>
      </c>
    </row>
    <row r="18" spans="1:8">
      <c r="A18" s="15" t="s">
        <v>945</v>
      </c>
      <c r="B18" s="16" t="s">
        <v>69</v>
      </c>
      <c r="C18" s="8" t="s">
        <v>946</v>
      </c>
      <c r="D18" s="17"/>
      <c r="E18" s="16" t="s">
        <v>11</v>
      </c>
      <c r="F18" s="18">
        <v>4116.76</v>
      </c>
      <c r="G18" s="19" t="s">
        <v>543</v>
      </c>
      <c r="H18" s="19" t="s">
        <v>81</v>
      </c>
    </row>
    <row r="19" spans="1:8">
      <c r="A19" s="15" t="s">
        <v>945</v>
      </c>
      <c r="B19" s="16" t="s">
        <v>69</v>
      </c>
      <c r="C19" s="8" t="s">
        <v>963</v>
      </c>
      <c r="D19" s="17"/>
      <c r="E19" s="16" t="s">
        <v>11</v>
      </c>
      <c r="F19" s="18">
        <v>4499.61</v>
      </c>
      <c r="G19" s="20" t="s">
        <v>74</v>
      </c>
      <c r="H19" s="20" t="s">
        <v>24</v>
      </c>
    </row>
    <row r="20" spans="1:8">
      <c r="A20" s="15" t="s">
        <v>945</v>
      </c>
      <c r="B20" s="16" t="s">
        <v>69</v>
      </c>
      <c r="C20" s="8" t="s">
        <v>964</v>
      </c>
      <c r="D20" s="17"/>
      <c r="E20" s="16" t="s">
        <v>11</v>
      </c>
      <c r="F20" s="18">
        <v>4606.22</v>
      </c>
      <c r="G20" s="20" t="s">
        <v>543</v>
      </c>
      <c r="H20" s="20" t="s">
        <v>81</v>
      </c>
    </row>
    <row r="21" spans="1:8">
      <c r="A21" s="15" t="s">
        <v>945</v>
      </c>
      <c r="B21" s="16" t="s">
        <v>69</v>
      </c>
      <c r="C21" s="8" t="s">
        <v>965</v>
      </c>
      <c r="D21" s="17"/>
      <c r="E21" s="16" t="s">
        <v>11</v>
      </c>
      <c r="F21" s="18">
        <v>4683.27</v>
      </c>
      <c r="G21" s="20" t="s">
        <v>966</v>
      </c>
      <c r="H21" s="20" t="s">
        <v>81</v>
      </c>
    </row>
    <row r="22" spans="1:8">
      <c r="A22" s="16" t="s">
        <v>945</v>
      </c>
      <c r="B22" s="16" t="s">
        <v>69</v>
      </c>
      <c r="C22" s="8" t="s">
        <v>967</v>
      </c>
      <c r="D22" s="17"/>
      <c r="E22" s="16" t="s">
        <v>11</v>
      </c>
      <c r="F22" s="18">
        <v>4758.24</v>
      </c>
      <c r="G22" s="20" t="s">
        <v>596</v>
      </c>
      <c r="H22" s="20" t="s">
        <v>36</v>
      </c>
    </row>
    <row r="23" spans="1:8">
      <c r="A23" s="15" t="s">
        <v>945</v>
      </c>
      <c r="B23" s="16" t="s">
        <v>69</v>
      </c>
      <c r="C23" s="8" t="s">
        <v>951</v>
      </c>
      <c r="D23" s="17"/>
      <c r="E23" s="16" t="s">
        <v>11</v>
      </c>
      <c r="F23" s="18">
        <v>4762.55</v>
      </c>
      <c r="G23" s="20" t="s">
        <v>74</v>
      </c>
      <c r="H23" s="20" t="s">
        <v>24</v>
      </c>
    </row>
    <row r="24" spans="1:8">
      <c r="A24" s="16" t="s">
        <v>945</v>
      </c>
      <c r="B24" s="16" t="s">
        <v>69</v>
      </c>
      <c r="C24" s="8" t="s">
        <v>968</v>
      </c>
      <c r="D24" s="17"/>
      <c r="E24" s="16" t="s">
        <v>11</v>
      </c>
      <c r="F24" s="18">
        <v>4801.27</v>
      </c>
      <c r="G24" s="20" t="s">
        <v>969</v>
      </c>
      <c r="H24" s="20" t="s">
        <v>24</v>
      </c>
    </row>
    <row r="25" spans="1:8">
      <c r="A25" s="15" t="s">
        <v>945</v>
      </c>
      <c r="B25" s="16" t="s">
        <v>69</v>
      </c>
      <c r="C25" s="8" t="s">
        <v>956</v>
      </c>
      <c r="D25" s="17"/>
      <c r="E25" s="16" t="s">
        <v>11</v>
      </c>
      <c r="F25" s="18">
        <v>5000</v>
      </c>
      <c r="G25" s="20" t="s">
        <v>36</v>
      </c>
      <c r="H25" s="20" t="s">
        <v>36</v>
      </c>
    </row>
    <row r="26" spans="1:8">
      <c r="A26" s="15" t="s">
        <v>945</v>
      </c>
      <c r="B26" s="16" t="s">
        <v>69</v>
      </c>
      <c r="C26" s="8" t="s">
        <v>970</v>
      </c>
      <c r="D26" s="17"/>
      <c r="E26" s="16" t="s">
        <v>11</v>
      </c>
      <c r="F26" s="18">
        <v>5000</v>
      </c>
      <c r="G26" s="20" t="s">
        <v>179</v>
      </c>
      <c r="H26" s="20" t="s">
        <v>81</v>
      </c>
    </row>
    <row r="27" spans="1:8">
      <c r="A27" s="15" t="s">
        <v>945</v>
      </c>
      <c r="B27" s="16" t="s">
        <v>69</v>
      </c>
      <c r="C27" s="8" t="s">
        <v>971</v>
      </c>
      <c r="D27" s="17"/>
      <c r="E27" s="16" t="s">
        <v>11</v>
      </c>
      <c r="F27" s="18">
        <v>5022.3</v>
      </c>
      <c r="G27" s="20" t="s">
        <v>972</v>
      </c>
      <c r="H27" s="20" t="s">
        <v>24</v>
      </c>
    </row>
    <row r="28" spans="1:8">
      <c r="A28" s="16" t="s">
        <v>945</v>
      </c>
      <c r="B28" s="16" t="s">
        <v>69</v>
      </c>
      <c r="C28" s="8" t="s">
        <v>960</v>
      </c>
      <c r="D28" s="17"/>
      <c r="E28" s="16" t="s">
        <v>11</v>
      </c>
      <c r="F28" s="18">
        <v>5150.9</v>
      </c>
      <c r="G28" s="20" t="s">
        <v>210</v>
      </c>
      <c r="H28" s="20" t="s">
        <v>36</v>
      </c>
    </row>
    <row r="29" spans="1:8">
      <c r="A29" s="15" t="s">
        <v>945</v>
      </c>
      <c r="B29" s="16" t="s">
        <v>69</v>
      </c>
      <c r="C29" s="8" t="s">
        <v>952</v>
      </c>
      <c r="D29" s="17"/>
      <c r="E29" s="16" t="s">
        <v>11</v>
      </c>
      <c r="F29" s="18">
        <v>5474.29</v>
      </c>
      <c r="G29" s="20" t="s">
        <v>953</v>
      </c>
      <c r="H29" s="20" t="s">
        <v>81</v>
      </c>
    </row>
    <row r="30" spans="1:8">
      <c r="A30" s="15" t="s">
        <v>945</v>
      </c>
      <c r="B30" s="16" t="s">
        <v>69</v>
      </c>
      <c r="C30" s="8" t="s">
        <v>973</v>
      </c>
      <c r="D30" s="17"/>
      <c r="E30" s="16" t="s">
        <v>11</v>
      </c>
      <c r="F30" s="18">
        <v>5480.8</v>
      </c>
      <c r="G30" s="20" t="s">
        <v>27</v>
      </c>
      <c r="H30" s="20" t="s">
        <v>28</v>
      </c>
    </row>
    <row r="31" spans="1:8">
      <c r="A31" s="15" t="s">
        <v>945</v>
      </c>
      <c r="B31" s="16" t="s">
        <v>69</v>
      </c>
      <c r="C31" s="8" t="s">
        <v>973</v>
      </c>
      <c r="D31" s="17"/>
      <c r="E31" s="16" t="s">
        <v>11</v>
      </c>
      <c r="F31" s="18">
        <v>5552.36</v>
      </c>
      <c r="G31" s="20" t="s">
        <v>27</v>
      </c>
      <c r="H31" s="20" t="s">
        <v>28</v>
      </c>
    </row>
    <row r="32" spans="1:8">
      <c r="A32" s="15" t="s">
        <v>945</v>
      </c>
      <c r="B32" s="16" t="s">
        <v>69</v>
      </c>
      <c r="C32" s="8" t="s">
        <v>970</v>
      </c>
      <c r="D32" s="17"/>
      <c r="E32" s="16" t="s">
        <v>11</v>
      </c>
      <c r="F32" s="18">
        <v>5600</v>
      </c>
      <c r="G32" s="20" t="s">
        <v>179</v>
      </c>
      <c r="H32" s="20" t="s">
        <v>81</v>
      </c>
    </row>
    <row r="33" spans="1:8">
      <c r="A33" s="15" t="s">
        <v>945</v>
      </c>
      <c r="B33" s="16" t="s">
        <v>69</v>
      </c>
      <c r="C33" s="8" t="s">
        <v>974</v>
      </c>
      <c r="D33" s="17"/>
      <c r="E33" s="16" t="s">
        <v>11</v>
      </c>
      <c r="F33" s="18">
        <v>5836.95</v>
      </c>
      <c r="G33" s="20" t="s">
        <v>356</v>
      </c>
      <c r="H33" s="20" t="s">
        <v>67</v>
      </c>
    </row>
    <row r="34" spans="1:8">
      <c r="A34" s="15" t="s">
        <v>945</v>
      </c>
      <c r="B34" s="16" t="s">
        <v>69</v>
      </c>
      <c r="C34" s="8" t="s">
        <v>975</v>
      </c>
      <c r="D34" s="17"/>
      <c r="E34" s="16" t="s">
        <v>11</v>
      </c>
      <c r="F34" s="18">
        <v>5864.64</v>
      </c>
      <c r="G34" s="20" t="s">
        <v>976</v>
      </c>
      <c r="H34" s="20" t="s">
        <v>67</v>
      </c>
    </row>
    <row r="35" spans="1:8">
      <c r="A35" s="15" t="s">
        <v>945</v>
      </c>
      <c r="B35" s="16" t="s">
        <v>69</v>
      </c>
      <c r="C35" s="8" t="s">
        <v>977</v>
      </c>
      <c r="D35" s="17"/>
      <c r="E35" s="16" t="s">
        <v>11</v>
      </c>
      <c r="F35" s="18">
        <v>6000</v>
      </c>
      <c r="G35" s="20" t="s">
        <v>66</v>
      </c>
      <c r="H35" s="20" t="s">
        <v>67</v>
      </c>
    </row>
    <row r="36" spans="1:8">
      <c r="A36" s="16" t="s">
        <v>945</v>
      </c>
      <c r="B36" s="16" t="s">
        <v>69</v>
      </c>
      <c r="C36" s="16" t="s">
        <v>978</v>
      </c>
      <c r="D36" s="17"/>
      <c r="E36" s="16" t="s">
        <v>11</v>
      </c>
      <c r="F36" s="18">
        <v>6094.87</v>
      </c>
      <c r="G36" s="20" t="s">
        <v>586</v>
      </c>
      <c r="H36" s="20" t="s">
        <v>81</v>
      </c>
    </row>
    <row r="37" spans="1:8">
      <c r="A37" s="16" t="s">
        <v>945</v>
      </c>
      <c r="B37" s="16" t="s">
        <v>69</v>
      </c>
      <c r="C37" s="8" t="s">
        <v>979</v>
      </c>
      <c r="D37" s="17"/>
      <c r="E37" s="16" t="s">
        <v>11</v>
      </c>
      <c r="F37" s="18">
        <v>6507.49</v>
      </c>
      <c r="G37" s="20" t="s">
        <v>336</v>
      </c>
      <c r="H37" s="20" t="s">
        <v>24</v>
      </c>
    </row>
    <row r="38" spans="1:8">
      <c r="A38" s="16" t="s">
        <v>945</v>
      </c>
      <c r="B38" s="16" t="s">
        <v>69</v>
      </c>
      <c r="C38" s="8" t="s">
        <v>960</v>
      </c>
      <c r="D38" s="17"/>
      <c r="E38" s="16" t="s">
        <v>11</v>
      </c>
      <c r="F38" s="18">
        <v>6590.76</v>
      </c>
      <c r="G38" s="20" t="s">
        <v>210</v>
      </c>
      <c r="H38" s="20" t="s">
        <v>36</v>
      </c>
    </row>
    <row r="39" spans="1:8">
      <c r="A39" s="15" t="s">
        <v>945</v>
      </c>
      <c r="B39" s="16" t="s">
        <v>69</v>
      </c>
      <c r="C39" s="8" t="s">
        <v>980</v>
      </c>
      <c r="D39" s="17"/>
      <c r="E39" s="16" t="s">
        <v>11</v>
      </c>
      <c r="F39" s="18">
        <v>6616.24</v>
      </c>
      <c r="G39" s="20" t="s">
        <v>35</v>
      </c>
      <c r="H39" s="20" t="s">
        <v>24</v>
      </c>
    </row>
    <row r="40" spans="1:8">
      <c r="A40" s="15" t="s">
        <v>945</v>
      </c>
      <c r="B40" s="16" t="s">
        <v>69</v>
      </c>
      <c r="C40" s="8" t="s">
        <v>981</v>
      </c>
      <c r="D40" s="17"/>
      <c r="E40" s="16" t="s">
        <v>11</v>
      </c>
      <c r="F40" s="18">
        <v>6621.3</v>
      </c>
      <c r="G40" s="20" t="s">
        <v>74</v>
      </c>
      <c r="H40" s="20" t="s">
        <v>24</v>
      </c>
    </row>
    <row r="41" spans="1:8">
      <c r="A41" s="15" t="s">
        <v>945</v>
      </c>
      <c r="B41" s="16" t="s">
        <v>69</v>
      </c>
      <c r="C41" s="8" t="s">
        <v>982</v>
      </c>
      <c r="D41" s="17"/>
      <c r="E41" s="16" t="s">
        <v>11</v>
      </c>
      <c r="F41" s="18">
        <v>6743.33</v>
      </c>
      <c r="G41" s="20" t="s">
        <v>983</v>
      </c>
      <c r="H41" s="20" t="s">
        <v>24</v>
      </c>
    </row>
    <row r="42" spans="1:8">
      <c r="A42" s="15" t="s">
        <v>945</v>
      </c>
      <c r="B42" s="16" t="s">
        <v>69</v>
      </c>
      <c r="C42" s="8" t="s">
        <v>984</v>
      </c>
      <c r="D42" s="17"/>
      <c r="E42" s="16" t="s">
        <v>11</v>
      </c>
      <c r="F42" s="18">
        <v>6743.33</v>
      </c>
      <c r="G42" s="20" t="s">
        <v>636</v>
      </c>
      <c r="H42" s="20" t="s">
        <v>24</v>
      </c>
    </row>
    <row r="43" spans="1:8">
      <c r="A43" s="15" t="s">
        <v>945</v>
      </c>
      <c r="B43" s="16" t="s">
        <v>69</v>
      </c>
      <c r="C43" s="8" t="s">
        <v>985</v>
      </c>
      <c r="D43" s="17"/>
      <c r="E43" s="16" t="s">
        <v>11</v>
      </c>
      <c r="F43" s="18">
        <v>6743.33</v>
      </c>
      <c r="G43" s="20" t="s">
        <v>986</v>
      </c>
      <c r="H43" s="20" t="s">
        <v>67</v>
      </c>
    </row>
    <row r="44" spans="1:8">
      <c r="A44" s="15" t="s">
        <v>945</v>
      </c>
      <c r="B44" s="16" t="s">
        <v>69</v>
      </c>
      <c r="C44" s="8" t="s">
        <v>987</v>
      </c>
      <c r="D44" s="17"/>
      <c r="E44" s="16" t="s">
        <v>11</v>
      </c>
      <c r="F44" s="18">
        <v>6751.25</v>
      </c>
      <c r="G44" s="20" t="s">
        <v>141</v>
      </c>
      <c r="H44" s="20" t="s">
        <v>47</v>
      </c>
    </row>
    <row r="45" spans="1:8">
      <c r="A45" s="15" t="s">
        <v>945</v>
      </c>
      <c r="B45" s="16" t="s">
        <v>69</v>
      </c>
      <c r="C45" s="8" t="s">
        <v>988</v>
      </c>
      <c r="D45" s="17"/>
      <c r="E45" s="16" t="s">
        <v>11</v>
      </c>
      <c r="F45" s="18">
        <v>6794.47</v>
      </c>
      <c r="G45" s="20" t="s">
        <v>201</v>
      </c>
      <c r="H45" s="20" t="s">
        <v>24</v>
      </c>
    </row>
    <row r="46" spans="1:8">
      <c r="A46" s="15" t="s">
        <v>945</v>
      </c>
      <c r="B46" s="16" t="s">
        <v>69</v>
      </c>
      <c r="C46" s="8" t="s">
        <v>989</v>
      </c>
      <c r="D46" s="17"/>
      <c r="E46" s="16" t="s">
        <v>11</v>
      </c>
      <c r="F46" s="18">
        <v>7019.41</v>
      </c>
      <c r="G46" s="20" t="s">
        <v>616</v>
      </c>
      <c r="H46" s="20" t="s">
        <v>67</v>
      </c>
    </row>
    <row r="47" spans="1:8">
      <c r="A47" s="15" t="s">
        <v>945</v>
      </c>
      <c r="B47" s="16" t="s">
        <v>69</v>
      </c>
      <c r="C47" s="8" t="s">
        <v>985</v>
      </c>
      <c r="D47" s="17"/>
      <c r="E47" s="16" t="s">
        <v>11</v>
      </c>
      <c r="F47" s="18">
        <v>7052.64</v>
      </c>
      <c r="G47" s="20" t="s">
        <v>986</v>
      </c>
      <c r="H47" s="20" t="s">
        <v>67</v>
      </c>
    </row>
    <row r="48" spans="1:8">
      <c r="A48" s="15" t="s">
        <v>945</v>
      </c>
      <c r="B48" s="16" t="s">
        <v>69</v>
      </c>
      <c r="C48" s="8" t="s">
        <v>990</v>
      </c>
      <c r="D48" s="17"/>
      <c r="E48" s="16" t="s">
        <v>11</v>
      </c>
      <c r="F48" s="18">
        <v>7080</v>
      </c>
      <c r="G48" s="20" t="s">
        <v>74</v>
      </c>
      <c r="H48" s="20" t="s">
        <v>24</v>
      </c>
    </row>
    <row r="49" spans="1:8">
      <c r="A49" s="16" t="s">
        <v>945</v>
      </c>
      <c r="B49" s="16" t="s">
        <v>69</v>
      </c>
      <c r="C49" s="8" t="s">
        <v>991</v>
      </c>
      <c r="D49" s="17"/>
      <c r="E49" s="16" t="s">
        <v>11</v>
      </c>
      <c r="F49" s="18">
        <v>7080.3</v>
      </c>
      <c r="G49" s="20" t="s">
        <v>36</v>
      </c>
      <c r="H49" s="20" t="s">
        <v>47</v>
      </c>
    </row>
    <row r="50" spans="1:8">
      <c r="A50" s="15" t="s">
        <v>945</v>
      </c>
      <c r="B50" s="16" t="s">
        <v>69</v>
      </c>
      <c r="C50" s="8" t="s">
        <v>987</v>
      </c>
      <c r="D50" s="17"/>
      <c r="E50" s="16" t="s">
        <v>11</v>
      </c>
      <c r="F50" s="18">
        <v>7162.67</v>
      </c>
      <c r="G50" s="20" t="s">
        <v>141</v>
      </c>
      <c r="H50" s="20" t="s">
        <v>47</v>
      </c>
    </row>
    <row r="51" spans="1:8">
      <c r="A51" s="15" t="s">
        <v>945</v>
      </c>
      <c r="B51" s="16" t="s">
        <v>69</v>
      </c>
      <c r="C51" s="8" t="s">
        <v>992</v>
      </c>
      <c r="D51" s="17"/>
      <c r="E51" s="16" t="s">
        <v>11</v>
      </c>
      <c r="F51" s="18">
        <v>7410.28</v>
      </c>
      <c r="G51" s="19" t="s">
        <v>993</v>
      </c>
      <c r="H51" s="19" t="s">
        <v>47</v>
      </c>
    </row>
    <row r="52" spans="1:8">
      <c r="A52" s="16" t="s">
        <v>945</v>
      </c>
      <c r="B52" s="16" t="s">
        <v>69</v>
      </c>
      <c r="C52" s="8" t="s">
        <v>960</v>
      </c>
      <c r="D52" s="17"/>
      <c r="E52" s="16" t="s">
        <v>11</v>
      </c>
      <c r="F52" s="18">
        <v>7524.22</v>
      </c>
      <c r="G52" s="20" t="s">
        <v>210</v>
      </c>
      <c r="H52" s="20" t="s">
        <v>36</v>
      </c>
    </row>
    <row r="53" spans="1:8">
      <c r="A53" s="16" t="s">
        <v>945</v>
      </c>
      <c r="B53" s="16" t="s">
        <v>69</v>
      </c>
      <c r="C53" s="8" t="s">
        <v>994</v>
      </c>
      <c r="D53" s="17"/>
      <c r="E53" s="16" t="s">
        <v>11</v>
      </c>
      <c r="F53" s="18">
        <v>7549.46</v>
      </c>
      <c r="G53" s="20" t="s">
        <v>616</v>
      </c>
      <c r="H53" s="20" t="s">
        <v>67</v>
      </c>
    </row>
    <row r="54" spans="1:8">
      <c r="A54" s="15" t="s">
        <v>945</v>
      </c>
      <c r="B54" s="16" t="s">
        <v>69</v>
      </c>
      <c r="C54" s="8" t="s">
        <v>995</v>
      </c>
      <c r="D54" s="17"/>
      <c r="E54" s="16" t="s">
        <v>11</v>
      </c>
      <c r="F54" s="18">
        <v>7591.78</v>
      </c>
      <c r="G54" s="20" t="s">
        <v>235</v>
      </c>
      <c r="H54" s="20" t="s">
        <v>67</v>
      </c>
    </row>
    <row r="55" spans="1:8">
      <c r="A55" s="16" t="s">
        <v>945</v>
      </c>
      <c r="B55" s="16" t="s">
        <v>69</v>
      </c>
      <c r="C55" s="8" t="s">
        <v>996</v>
      </c>
      <c r="D55" s="17"/>
      <c r="E55" s="16" t="s">
        <v>11</v>
      </c>
      <c r="F55" s="18">
        <v>7641.5</v>
      </c>
      <c r="G55" s="20" t="s">
        <v>254</v>
      </c>
      <c r="H55" s="20" t="s">
        <v>36</v>
      </c>
    </row>
    <row r="56" spans="1:8">
      <c r="A56" s="15" t="s">
        <v>945</v>
      </c>
      <c r="B56" s="16" t="s">
        <v>69</v>
      </c>
      <c r="C56" s="8" t="s">
        <v>997</v>
      </c>
      <c r="D56" s="17"/>
      <c r="E56" s="16" t="s">
        <v>11</v>
      </c>
      <c r="F56" s="18">
        <v>7645.88</v>
      </c>
      <c r="G56" s="20" t="s">
        <v>993</v>
      </c>
      <c r="H56" s="20" t="s">
        <v>47</v>
      </c>
    </row>
    <row r="57" spans="1:8">
      <c r="A57" s="15" t="s">
        <v>945</v>
      </c>
      <c r="B57" s="16" t="s">
        <v>69</v>
      </c>
      <c r="C57" s="16" t="s">
        <v>998</v>
      </c>
      <c r="D57" s="17"/>
      <c r="E57" s="16" t="s">
        <v>11</v>
      </c>
      <c r="F57" s="18">
        <v>7680.12</v>
      </c>
      <c r="G57" s="20" t="s">
        <v>66</v>
      </c>
      <c r="H57" s="20" t="s">
        <v>67</v>
      </c>
    </row>
    <row r="58" spans="1:8">
      <c r="A58" s="16" t="s">
        <v>945</v>
      </c>
      <c r="B58" s="16" t="s">
        <v>69</v>
      </c>
      <c r="C58" s="8" t="s">
        <v>999</v>
      </c>
      <c r="D58" s="17"/>
      <c r="E58" s="16" t="s">
        <v>11</v>
      </c>
      <c r="F58" s="18">
        <v>7960</v>
      </c>
      <c r="G58" s="20" t="s">
        <v>78</v>
      </c>
      <c r="H58" s="20" t="s">
        <v>24</v>
      </c>
    </row>
    <row r="59" spans="1:8">
      <c r="A59" s="15" t="s">
        <v>945</v>
      </c>
      <c r="B59" s="16" t="s">
        <v>69</v>
      </c>
      <c r="C59" s="8" t="s">
        <v>1000</v>
      </c>
      <c r="D59" s="17"/>
      <c r="E59" s="16" t="s">
        <v>11</v>
      </c>
      <c r="F59" s="18">
        <v>8077</v>
      </c>
      <c r="G59" s="20" t="s">
        <v>325</v>
      </c>
      <c r="H59" s="20" t="s">
        <v>81</v>
      </c>
    </row>
    <row r="60" spans="1:8">
      <c r="A60" s="15" t="s">
        <v>945</v>
      </c>
      <c r="B60" s="16" t="s">
        <v>69</v>
      </c>
      <c r="C60" s="8" t="s">
        <v>1001</v>
      </c>
      <c r="D60" s="17"/>
      <c r="E60" s="16" t="s">
        <v>11</v>
      </c>
      <c r="F60" s="18">
        <v>8107.02</v>
      </c>
      <c r="G60" s="19" t="s">
        <v>993</v>
      </c>
      <c r="H60" s="19" t="s">
        <v>47</v>
      </c>
    </row>
    <row r="61" spans="1:8">
      <c r="A61" s="15" t="s">
        <v>945</v>
      </c>
      <c r="B61" s="16" t="s">
        <v>69</v>
      </c>
      <c r="C61" s="8" t="s">
        <v>1002</v>
      </c>
      <c r="D61" s="17"/>
      <c r="E61" s="16" t="s">
        <v>11</v>
      </c>
      <c r="F61" s="18">
        <v>8160</v>
      </c>
      <c r="G61" s="20" t="s">
        <v>718</v>
      </c>
      <c r="H61" s="20" t="s">
        <v>24</v>
      </c>
    </row>
    <row r="62" spans="1:8">
      <c r="A62" s="15" t="s">
        <v>945</v>
      </c>
      <c r="B62" s="16" t="s">
        <v>69</v>
      </c>
      <c r="C62" s="8" t="s">
        <v>1003</v>
      </c>
      <c r="D62" s="17"/>
      <c r="E62" s="16" t="s">
        <v>11</v>
      </c>
      <c r="F62" s="18">
        <v>8182.91</v>
      </c>
      <c r="G62" s="20" t="s">
        <v>1004</v>
      </c>
      <c r="H62" s="20" t="s">
        <v>81</v>
      </c>
    </row>
    <row r="63" spans="1:8">
      <c r="A63" s="16" t="s">
        <v>945</v>
      </c>
      <c r="B63" s="16" t="s">
        <v>69</v>
      </c>
      <c r="C63" s="8" t="s">
        <v>1005</v>
      </c>
      <c r="D63" s="17"/>
      <c r="E63" s="16" t="s">
        <v>11</v>
      </c>
      <c r="F63" s="18">
        <v>8395.2</v>
      </c>
      <c r="G63" s="16" t="s">
        <v>14</v>
      </c>
      <c r="H63" s="16" t="s">
        <v>14</v>
      </c>
    </row>
    <row r="64" spans="1:8">
      <c r="A64" s="15" t="s">
        <v>945</v>
      </c>
      <c r="B64" s="16" t="s">
        <v>69</v>
      </c>
      <c r="C64" s="8" t="s">
        <v>947</v>
      </c>
      <c r="D64" s="17"/>
      <c r="E64" s="16" t="s">
        <v>11</v>
      </c>
      <c r="F64" s="18">
        <v>8472.46</v>
      </c>
      <c r="G64" s="20" t="s">
        <v>948</v>
      </c>
      <c r="H64" s="20" t="s">
        <v>81</v>
      </c>
    </row>
    <row r="65" spans="1:8">
      <c r="A65" s="15" t="s">
        <v>945</v>
      </c>
      <c r="B65" s="16" t="s">
        <v>69</v>
      </c>
      <c r="C65" s="8" t="s">
        <v>1006</v>
      </c>
      <c r="D65" s="17"/>
      <c r="E65" s="16" t="s">
        <v>11</v>
      </c>
      <c r="F65" s="18">
        <v>8500</v>
      </c>
      <c r="G65" s="20" t="s">
        <v>277</v>
      </c>
      <c r="H65" s="20" t="s">
        <v>24</v>
      </c>
    </row>
    <row r="66" spans="1:8">
      <c r="A66" s="15" t="s">
        <v>945</v>
      </c>
      <c r="B66" s="16" t="s">
        <v>69</v>
      </c>
      <c r="C66" s="8" t="s">
        <v>954</v>
      </c>
      <c r="D66" s="17"/>
      <c r="E66" s="16" t="s">
        <v>11</v>
      </c>
      <c r="F66" s="18">
        <v>8562.01</v>
      </c>
      <c r="G66" s="20" t="s">
        <v>36</v>
      </c>
      <c r="H66" s="20" t="s">
        <v>760</v>
      </c>
    </row>
    <row r="67" spans="1:8">
      <c r="A67" s="15" t="s">
        <v>945</v>
      </c>
      <c r="B67" s="16" t="s">
        <v>69</v>
      </c>
      <c r="C67" s="16" t="s">
        <v>978</v>
      </c>
      <c r="D67" s="17"/>
      <c r="E67" s="20" t="s">
        <v>11</v>
      </c>
      <c r="F67" s="21">
        <v>8563.57</v>
      </c>
      <c r="G67" s="20" t="s">
        <v>586</v>
      </c>
      <c r="H67" s="20" t="s">
        <v>81</v>
      </c>
    </row>
    <row r="68" spans="1:8">
      <c r="A68" s="15" t="s">
        <v>945</v>
      </c>
      <c r="B68" s="16" t="s">
        <v>69</v>
      </c>
      <c r="C68" s="8" t="s">
        <v>951</v>
      </c>
      <c r="D68" s="17"/>
      <c r="E68" s="16" t="s">
        <v>11</v>
      </c>
      <c r="F68" s="18">
        <v>8659.47</v>
      </c>
      <c r="G68" s="20" t="s">
        <v>74</v>
      </c>
      <c r="H68" s="20" t="s">
        <v>24</v>
      </c>
    </row>
    <row r="69" spans="1:8">
      <c r="A69" s="15" t="s">
        <v>945</v>
      </c>
      <c r="B69" s="16" t="s">
        <v>69</v>
      </c>
      <c r="C69" s="8" t="s">
        <v>989</v>
      </c>
      <c r="D69" s="17"/>
      <c r="E69" s="16" t="s">
        <v>11</v>
      </c>
      <c r="F69" s="18">
        <v>8792.65</v>
      </c>
      <c r="G69" s="20" t="s">
        <v>616</v>
      </c>
      <c r="H69" s="20" t="s">
        <v>67</v>
      </c>
    </row>
    <row r="70" spans="1:8">
      <c r="A70" s="15" t="s">
        <v>945</v>
      </c>
      <c r="B70" s="16" t="s">
        <v>69</v>
      </c>
      <c r="C70" s="8" t="s">
        <v>1007</v>
      </c>
      <c r="D70" s="17"/>
      <c r="E70" s="16" t="s">
        <v>11</v>
      </c>
      <c r="F70" s="18">
        <v>8811.72</v>
      </c>
      <c r="G70" s="19" t="s">
        <v>46</v>
      </c>
      <c r="H70" s="19" t="s">
        <v>47</v>
      </c>
    </row>
    <row r="71" spans="1:8">
      <c r="A71" s="15" t="s">
        <v>945</v>
      </c>
      <c r="B71" s="16" t="s">
        <v>69</v>
      </c>
      <c r="C71" s="8" t="s">
        <v>1008</v>
      </c>
      <c r="D71" s="17"/>
      <c r="E71" s="16" t="s">
        <v>11</v>
      </c>
      <c r="F71" s="18">
        <v>8866.8</v>
      </c>
      <c r="G71" s="19" t="s">
        <v>274</v>
      </c>
      <c r="H71" s="19" t="s">
        <v>47</v>
      </c>
    </row>
    <row r="72" spans="1:8">
      <c r="A72" s="16" t="s">
        <v>945</v>
      </c>
      <c r="B72" s="16" t="s">
        <v>69</v>
      </c>
      <c r="C72" s="16" t="s">
        <v>998</v>
      </c>
      <c r="D72" s="17"/>
      <c r="E72" s="16" t="s">
        <v>11</v>
      </c>
      <c r="F72" s="18">
        <v>9007.06</v>
      </c>
      <c r="G72" s="20" t="s">
        <v>1009</v>
      </c>
      <c r="H72" s="20" t="s">
        <v>67</v>
      </c>
    </row>
    <row r="73" spans="1:8">
      <c r="A73" s="16" t="s">
        <v>945</v>
      </c>
      <c r="B73" s="16" t="s">
        <v>69</v>
      </c>
      <c r="C73" s="8" t="s">
        <v>1010</v>
      </c>
      <c r="D73" s="17"/>
      <c r="E73" s="16" t="s">
        <v>11</v>
      </c>
      <c r="F73" s="18">
        <v>9206.25</v>
      </c>
      <c r="G73" s="20" t="s">
        <v>619</v>
      </c>
      <c r="H73" s="20" t="s">
        <v>47</v>
      </c>
    </row>
    <row r="74" spans="1:8">
      <c r="A74" s="15" t="s">
        <v>945</v>
      </c>
      <c r="B74" s="16" t="s">
        <v>69</v>
      </c>
      <c r="C74" s="8" t="s">
        <v>952</v>
      </c>
      <c r="D74" s="17"/>
      <c r="E74" s="16" t="s">
        <v>11</v>
      </c>
      <c r="F74" s="18">
        <v>9263.39</v>
      </c>
      <c r="G74" s="20" t="s">
        <v>953</v>
      </c>
      <c r="H74" s="20" t="s">
        <v>81</v>
      </c>
    </row>
    <row r="75" spans="1:8">
      <c r="A75" s="15" t="s">
        <v>945</v>
      </c>
      <c r="B75" s="16" t="s">
        <v>69</v>
      </c>
      <c r="C75" s="8" t="s">
        <v>1011</v>
      </c>
      <c r="D75" s="17"/>
      <c r="E75" s="16" t="s">
        <v>11</v>
      </c>
      <c r="F75" s="18">
        <v>9269.71</v>
      </c>
      <c r="G75" s="19" t="s">
        <v>1012</v>
      </c>
      <c r="H75" s="19" t="s">
        <v>28</v>
      </c>
    </row>
    <row r="76" spans="1:8">
      <c r="A76" s="15" t="s">
        <v>945</v>
      </c>
      <c r="B76" s="16" t="s">
        <v>69</v>
      </c>
      <c r="C76" s="8" t="s">
        <v>1013</v>
      </c>
      <c r="D76" s="17"/>
      <c r="E76" s="16" t="s">
        <v>11</v>
      </c>
      <c r="F76" s="18">
        <v>9351</v>
      </c>
      <c r="G76" s="19" t="s">
        <v>36</v>
      </c>
      <c r="H76" s="19" t="s">
        <v>36</v>
      </c>
    </row>
    <row r="77" spans="1:8">
      <c r="A77" s="16" t="s">
        <v>945</v>
      </c>
      <c r="B77" s="16" t="s">
        <v>69</v>
      </c>
      <c r="C77" s="8" t="s">
        <v>1014</v>
      </c>
      <c r="D77" s="17"/>
      <c r="E77" s="16" t="s">
        <v>11</v>
      </c>
      <c r="F77" s="18">
        <v>9666.8</v>
      </c>
      <c r="G77" s="20" t="s">
        <v>35</v>
      </c>
      <c r="H77" s="20" t="s">
        <v>24</v>
      </c>
    </row>
    <row r="78" spans="1:8">
      <c r="A78" s="16" t="s">
        <v>945</v>
      </c>
      <c r="B78" s="16" t="s">
        <v>69</v>
      </c>
      <c r="C78" s="8" t="s">
        <v>1014</v>
      </c>
      <c r="D78" s="17"/>
      <c r="E78" s="16" t="s">
        <v>11</v>
      </c>
      <c r="F78" s="18">
        <v>10051.21</v>
      </c>
      <c r="G78" s="20" t="s">
        <v>35</v>
      </c>
      <c r="H78" s="20" t="s">
        <v>24</v>
      </c>
    </row>
    <row r="79" spans="1:8">
      <c r="A79" s="16" t="s">
        <v>945</v>
      </c>
      <c r="B79" s="16" t="s">
        <v>69</v>
      </c>
      <c r="C79" s="16" t="s">
        <v>1015</v>
      </c>
      <c r="D79" s="17"/>
      <c r="E79" s="16" t="s">
        <v>11</v>
      </c>
      <c r="F79" s="18">
        <v>10264.7</v>
      </c>
      <c r="G79" s="20" t="s">
        <v>74</v>
      </c>
      <c r="H79" s="20" t="s">
        <v>24</v>
      </c>
    </row>
    <row r="80" spans="1:8">
      <c r="A80" s="16" t="s">
        <v>945</v>
      </c>
      <c r="B80" s="16" t="s">
        <v>69</v>
      </c>
      <c r="C80" s="16" t="s">
        <v>1016</v>
      </c>
      <c r="D80" s="17"/>
      <c r="E80" s="16" t="s">
        <v>11</v>
      </c>
      <c r="F80" s="18">
        <v>10305.71</v>
      </c>
      <c r="G80" s="20" t="s">
        <v>36</v>
      </c>
      <c r="H80" s="20" t="s">
        <v>47</v>
      </c>
    </row>
    <row r="81" spans="1:8">
      <c r="A81" s="16" t="s">
        <v>945</v>
      </c>
      <c r="B81" s="16" t="s">
        <v>69</v>
      </c>
      <c r="C81" s="16" t="s">
        <v>998</v>
      </c>
      <c r="D81" s="17"/>
      <c r="E81" s="16" t="s">
        <v>11</v>
      </c>
      <c r="F81" s="18">
        <v>10311</v>
      </c>
      <c r="G81" s="20" t="s">
        <v>1009</v>
      </c>
      <c r="H81" s="20" t="s">
        <v>67</v>
      </c>
    </row>
    <row r="82" spans="1:8">
      <c r="A82" s="15" t="s">
        <v>945</v>
      </c>
      <c r="B82" s="16" t="s">
        <v>69</v>
      </c>
      <c r="C82" s="8" t="s">
        <v>1017</v>
      </c>
      <c r="D82" s="17"/>
      <c r="E82" s="16" t="s">
        <v>11</v>
      </c>
      <c r="F82" s="18">
        <v>10329.28</v>
      </c>
      <c r="G82" s="20" t="s">
        <v>1018</v>
      </c>
      <c r="H82" s="20" t="s">
        <v>67</v>
      </c>
    </row>
    <row r="83" spans="1:8">
      <c r="A83" s="15" t="s">
        <v>945</v>
      </c>
      <c r="B83" s="16" t="s">
        <v>69</v>
      </c>
      <c r="C83" s="8" t="s">
        <v>1019</v>
      </c>
      <c r="D83" s="17"/>
      <c r="E83" s="16" t="s">
        <v>11</v>
      </c>
      <c r="F83" s="18">
        <v>10451.6</v>
      </c>
      <c r="G83" s="20" t="s">
        <v>636</v>
      </c>
      <c r="H83" s="20" t="s">
        <v>24</v>
      </c>
    </row>
    <row r="84" spans="1:8">
      <c r="A84" s="15" t="s">
        <v>945</v>
      </c>
      <c r="B84" s="16" t="s">
        <v>69</v>
      </c>
      <c r="C84" s="8" t="s">
        <v>1020</v>
      </c>
      <c r="D84" s="17"/>
      <c r="E84" s="16" t="s">
        <v>11</v>
      </c>
      <c r="F84" s="18">
        <v>11047.5</v>
      </c>
      <c r="G84" s="20" t="s">
        <v>201</v>
      </c>
      <c r="H84" s="20" t="s">
        <v>24</v>
      </c>
    </row>
    <row r="85" spans="1:8">
      <c r="A85" s="16" t="s">
        <v>945</v>
      </c>
      <c r="B85" s="16" t="s">
        <v>69</v>
      </c>
      <c r="C85" s="16" t="s">
        <v>1015</v>
      </c>
      <c r="D85" s="17"/>
      <c r="E85" s="16" t="s">
        <v>11</v>
      </c>
      <c r="F85" s="18">
        <v>11123.49</v>
      </c>
      <c r="G85" s="20" t="s">
        <v>74</v>
      </c>
      <c r="H85" s="20" t="s">
        <v>24</v>
      </c>
    </row>
    <row r="86" spans="1:8">
      <c r="A86" s="15" t="s">
        <v>945</v>
      </c>
      <c r="B86" s="16" t="s">
        <v>69</v>
      </c>
      <c r="C86" s="8" t="s">
        <v>1021</v>
      </c>
      <c r="D86" s="17"/>
      <c r="E86" s="16" t="s">
        <v>11</v>
      </c>
      <c r="F86" s="18">
        <v>11232.12</v>
      </c>
      <c r="G86" s="20" t="s">
        <v>23</v>
      </c>
      <c r="H86" s="20" t="s">
        <v>24</v>
      </c>
    </row>
    <row r="87" spans="1:8">
      <c r="A87" s="15" t="s">
        <v>945</v>
      </c>
      <c r="B87" s="16" t="s">
        <v>69</v>
      </c>
      <c r="C87" s="8" t="s">
        <v>973</v>
      </c>
      <c r="D87" s="17"/>
      <c r="E87" s="16" t="s">
        <v>11</v>
      </c>
      <c r="F87" s="18">
        <v>11251.79</v>
      </c>
      <c r="G87" s="20" t="s">
        <v>27</v>
      </c>
      <c r="H87" s="20" t="s">
        <v>28</v>
      </c>
    </row>
    <row r="88" spans="1:8">
      <c r="A88" s="15" t="s">
        <v>945</v>
      </c>
      <c r="B88" s="16" t="s">
        <v>69</v>
      </c>
      <c r="C88" s="8" t="s">
        <v>1022</v>
      </c>
      <c r="D88" s="17"/>
      <c r="E88" s="16" t="s">
        <v>11</v>
      </c>
      <c r="F88" s="18">
        <v>11490.64</v>
      </c>
      <c r="G88" s="20" t="s">
        <v>179</v>
      </c>
      <c r="H88" s="20" t="s">
        <v>81</v>
      </c>
    </row>
    <row r="89" spans="1:8">
      <c r="A89" s="15" t="s">
        <v>945</v>
      </c>
      <c r="B89" s="16" t="s">
        <v>69</v>
      </c>
      <c r="C89" s="8" t="s">
        <v>1020</v>
      </c>
      <c r="D89" s="17"/>
      <c r="E89" s="16" t="s">
        <v>11</v>
      </c>
      <c r="F89" s="18">
        <v>11840.08</v>
      </c>
      <c r="G89" s="20" t="s">
        <v>201</v>
      </c>
      <c r="H89" s="20" t="s">
        <v>24</v>
      </c>
    </row>
    <row r="90" spans="1:8">
      <c r="A90" s="15" t="s">
        <v>945</v>
      </c>
      <c r="B90" s="16" t="s">
        <v>69</v>
      </c>
      <c r="C90" s="8" t="s">
        <v>959</v>
      </c>
      <c r="D90" s="17"/>
      <c r="E90" s="16" t="s">
        <v>11</v>
      </c>
      <c r="F90" s="18">
        <v>11956.77</v>
      </c>
      <c r="G90" s="20" t="s">
        <v>43</v>
      </c>
      <c r="H90" s="20" t="s">
        <v>24</v>
      </c>
    </row>
    <row r="91" spans="1:8">
      <c r="A91" s="16" t="s">
        <v>945</v>
      </c>
      <c r="B91" s="16" t="s">
        <v>69</v>
      </c>
      <c r="C91" s="8" t="s">
        <v>1023</v>
      </c>
      <c r="D91" s="17"/>
      <c r="E91" s="16" t="s">
        <v>11</v>
      </c>
      <c r="F91" s="18">
        <v>12010.84</v>
      </c>
      <c r="G91" s="20" t="s">
        <v>1024</v>
      </c>
      <c r="H91" s="20" t="s">
        <v>67</v>
      </c>
    </row>
    <row r="92" spans="1:8">
      <c r="A92" s="15" t="s">
        <v>945</v>
      </c>
      <c r="B92" s="16" t="s">
        <v>69</v>
      </c>
      <c r="C92" s="8" t="s">
        <v>1022</v>
      </c>
      <c r="D92" s="17"/>
      <c r="E92" s="16" t="s">
        <v>11</v>
      </c>
      <c r="F92" s="18">
        <v>12012.77</v>
      </c>
      <c r="G92" s="20" t="s">
        <v>179</v>
      </c>
      <c r="H92" s="20" t="s">
        <v>81</v>
      </c>
    </row>
    <row r="93" spans="1:8">
      <c r="A93" s="15" t="s">
        <v>945</v>
      </c>
      <c r="B93" s="16" t="s">
        <v>69</v>
      </c>
      <c r="C93" s="8" t="s">
        <v>1011</v>
      </c>
      <c r="D93" s="17"/>
      <c r="E93" s="16" t="s">
        <v>11</v>
      </c>
      <c r="F93" s="18">
        <v>12124.05</v>
      </c>
      <c r="G93" s="19" t="s">
        <v>1012</v>
      </c>
      <c r="H93" s="19" t="s">
        <v>28</v>
      </c>
    </row>
    <row r="94" spans="1:8">
      <c r="A94" s="15" t="s">
        <v>945</v>
      </c>
      <c r="B94" s="16" t="s">
        <v>69</v>
      </c>
      <c r="C94" s="8" t="s">
        <v>1025</v>
      </c>
      <c r="D94" s="17"/>
      <c r="E94" s="16" t="s">
        <v>11</v>
      </c>
      <c r="F94" s="18">
        <v>12223.18</v>
      </c>
      <c r="G94" s="20" t="s">
        <v>554</v>
      </c>
      <c r="H94" s="20" t="s">
        <v>137</v>
      </c>
    </row>
    <row r="95" spans="1:8">
      <c r="A95" s="16" t="s">
        <v>945</v>
      </c>
      <c r="B95" s="16" t="s">
        <v>69</v>
      </c>
      <c r="C95" s="16" t="s">
        <v>1015</v>
      </c>
      <c r="D95" s="17"/>
      <c r="E95" s="16" t="s">
        <v>11</v>
      </c>
      <c r="F95" s="18">
        <v>12256.25</v>
      </c>
      <c r="G95" s="20" t="s">
        <v>74</v>
      </c>
      <c r="H95" s="20" t="s">
        <v>24</v>
      </c>
    </row>
    <row r="96" spans="1:8">
      <c r="A96" s="16" t="s">
        <v>945</v>
      </c>
      <c r="B96" s="16" t="s">
        <v>69</v>
      </c>
      <c r="C96" s="8" t="s">
        <v>1026</v>
      </c>
      <c r="D96" s="17"/>
      <c r="E96" s="16" t="s">
        <v>11</v>
      </c>
      <c r="F96" s="18">
        <v>12470</v>
      </c>
      <c r="G96" s="20" t="s">
        <v>1027</v>
      </c>
      <c r="H96" s="20" t="s">
        <v>24</v>
      </c>
    </row>
    <row r="97" spans="1:8">
      <c r="A97" s="16" t="s">
        <v>945</v>
      </c>
      <c r="B97" s="16" t="s">
        <v>69</v>
      </c>
      <c r="C97" s="8" t="s">
        <v>1023</v>
      </c>
      <c r="D97" s="17"/>
      <c r="E97" s="16" t="s">
        <v>11</v>
      </c>
      <c r="F97" s="18">
        <v>12508.96</v>
      </c>
      <c r="G97" s="20" t="s">
        <v>1024</v>
      </c>
      <c r="H97" s="20" t="s">
        <v>67</v>
      </c>
    </row>
    <row r="98" spans="1:8">
      <c r="A98" s="15" t="s">
        <v>945</v>
      </c>
      <c r="B98" s="16" t="s">
        <v>69</v>
      </c>
      <c r="C98" s="8" t="s">
        <v>1028</v>
      </c>
      <c r="D98" s="17"/>
      <c r="E98" s="16" t="s">
        <v>11</v>
      </c>
      <c r="F98" s="18">
        <v>13127.51</v>
      </c>
      <c r="G98" s="20" t="s">
        <v>1029</v>
      </c>
      <c r="H98" s="20" t="s">
        <v>24</v>
      </c>
    </row>
    <row r="99" spans="1:8">
      <c r="A99" s="15" t="s">
        <v>945</v>
      </c>
      <c r="B99" s="16" t="s">
        <v>69</v>
      </c>
      <c r="C99" s="8" t="s">
        <v>988</v>
      </c>
      <c r="D99" s="17"/>
      <c r="E99" s="16" t="s">
        <v>11</v>
      </c>
      <c r="F99" s="18">
        <v>13131.6</v>
      </c>
      <c r="G99" s="20" t="s">
        <v>201</v>
      </c>
      <c r="H99" s="20" t="s">
        <v>24</v>
      </c>
    </row>
    <row r="100" spans="1:8">
      <c r="A100" s="15" t="s">
        <v>945</v>
      </c>
      <c r="B100" s="16" t="s">
        <v>69</v>
      </c>
      <c r="C100" s="8" t="s">
        <v>1030</v>
      </c>
      <c r="D100" s="17"/>
      <c r="E100" s="16" t="s">
        <v>11</v>
      </c>
      <c r="F100" s="18">
        <v>13355.5</v>
      </c>
      <c r="G100" s="20" t="s">
        <v>36</v>
      </c>
      <c r="H100" s="20" t="s">
        <v>36</v>
      </c>
    </row>
    <row r="101" spans="1:8">
      <c r="A101" s="15" t="s">
        <v>945</v>
      </c>
      <c r="B101" s="16" t="s">
        <v>69</v>
      </c>
      <c r="C101" s="8" t="s">
        <v>964</v>
      </c>
      <c r="D101" s="17"/>
      <c r="E101" s="16" t="s">
        <v>11</v>
      </c>
      <c r="F101" s="18">
        <v>13500.6</v>
      </c>
      <c r="G101" s="20" t="s">
        <v>543</v>
      </c>
      <c r="H101" s="20" t="s">
        <v>81</v>
      </c>
    </row>
    <row r="102" spans="1:8">
      <c r="A102" s="15" t="s">
        <v>945</v>
      </c>
      <c r="B102" s="16" t="s">
        <v>69</v>
      </c>
      <c r="C102" s="8" t="s">
        <v>1019</v>
      </c>
      <c r="D102" s="17"/>
      <c r="E102" s="16" t="s">
        <v>11</v>
      </c>
      <c r="F102" s="18">
        <v>13501.12</v>
      </c>
      <c r="G102" s="20" t="s">
        <v>636</v>
      </c>
      <c r="H102" s="20" t="s">
        <v>24</v>
      </c>
    </row>
    <row r="103" spans="1:8">
      <c r="A103" s="15" t="s">
        <v>945</v>
      </c>
      <c r="B103" s="16" t="s">
        <v>69</v>
      </c>
      <c r="C103" s="8" t="s">
        <v>1031</v>
      </c>
      <c r="D103" s="17"/>
      <c r="E103" s="16" t="s">
        <v>11</v>
      </c>
      <c r="F103" s="18">
        <v>13629.28</v>
      </c>
      <c r="G103" s="20" t="s">
        <v>1032</v>
      </c>
      <c r="H103" s="20" t="s">
        <v>47</v>
      </c>
    </row>
    <row r="104" spans="1:8">
      <c r="A104" s="16" t="s">
        <v>945</v>
      </c>
      <c r="B104" s="16" t="s">
        <v>69</v>
      </c>
      <c r="C104" s="8" t="s">
        <v>1033</v>
      </c>
      <c r="D104" s="17"/>
      <c r="E104" s="16" t="s">
        <v>11</v>
      </c>
      <c r="F104" s="18">
        <v>13812.58</v>
      </c>
      <c r="G104" s="20" t="s">
        <v>235</v>
      </c>
      <c r="H104" s="20" t="s">
        <v>67</v>
      </c>
    </row>
    <row r="105" spans="1:8">
      <c r="A105" s="15" t="s">
        <v>945</v>
      </c>
      <c r="B105" s="16" t="s">
        <v>69</v>
      </c>
      <c r="C105" s="8" t="s">
        <v>1034</v>
      </c>
      <c r="D105" s="17"/>
      <c r="E105" s="16" t="s">
        <v>11</v>
      </c>
      <c r="F105" s="18">
        <v>14455.29</v>
      </c>
      <c r="G105" s="19" t="s">
        <v>23</v>
      </c>
      <c r="H105" s="19" t="s">
        <v>24</v>
      </c>
    </row>
    <row r="106" spans="1:8">
      <c r="A106" s="15" t="s">
        <v>945</v>
      </c>
      <c r="B106" s="16" t="s">
        <v>69</v>
      </c>
      <c r="C106" s="8" t="s">
        <v>1035</v>
      </c>
      <c r="D106" s="17"/>
      <c r="E106" s="16" t="s">
        <v>11</v>
      </c>
      <c r="F106" s="18">
        <v>14458.93</v>
      </c>
      <c r="G106" s="20" t="s">
        <v>356</v>
      </c>
      <c r="H106" s="20" t="s">
        <v>67</v>
      </c>
    </row>
    <row r="107" spans="1:8">
      <c r="A107" s="15" t="s">
        <v>945</v>
      </c>
      <c r="B107" s="16" t="s">
        <v>69</v>
      </c>
      <c r="C107" s="8" t="s">
        <v>1036</v>
      </c>
      <c r="D107" s="17"/>
      <c r="E107" s="16" t="s">
        <v>11</v>
      </c>
      <c r="F107" s="18">
        <v>14478.84</v>
      </c>
      <c r="G107" s="20" t="s">
        <v>1032</v>
      </c>
      <c r="H107" s="20" t="s">
        <v>47</v>
      </c>
    </row>
    <row r="108" spans="1:8">
      <c r="A108" s="15" t="s">
        <v>945</v>
      </c>
      <c r="B108" s="16" t="s">
        <v>69</v>
      </c>
      <c r="C108" s="8" t="s">
        <v>987</v>
      </c>
      <c r="D108" s="17"/>
      <c r="E108" s="16" t="s">
        <v>11</v>
      </c>
      <c r="F108" s="18">
        <v>14537.82</v>
      </c>
      <c r="G108" s="20" t="s">
        <v>141</v>
      </c>
      <c r="H108" s="20" t="s">
        <v>47</v>
      </c>
    </row>
    <row r="109" spans="1:8">
      <c r="A109" s="16" t="s">
        <v>945</v>
      </c>
      <c r="B109" s="16" t="s">
        <v>69</v>
      </c>
      <c r="C109" s="8" t="s">
        <v>971</v>
      </c>
      <c r="D109" s="17"/>
      <c r="E109" s="16" t="s">
        <v>11</v>
      </c>
      <c r="F109" s="18">
        <v>14558.64</v>
      </c>
      <c r="G109" s="20" t="s">
        <v>972</v>
      </c>
      <c r="H109" s="20" t="s">
        <v>24</v>
      </c>
    </row>
    <row r="110" spans="1:8">
      <c r="A110" s="15" t="s">
        <v>945</v>
      </c>
      <c r="B110" s="16" t="s">
        <v>69</v>
      </c>
      <c r="C110" s="8" t="s">
        <v>1037</v>
      </c>
      <c r="D110" s="17"/>
      <c r="E110" s="16" t="s">
        <v>11</v>
      </c>
      <c r="F110" s="18">
        <v>14835.26</v>
      </c>
      <c r="G110" s="19" t="s">
        <v>1038</v>
      </c>
      <c r="H110" s="19" t="s">
        <v>47</v>
      </c>
    </row>
    <row r="111" spans="1:8">
      <c r="A111" s="15" t="s">
        <v>945</v>
      </c>
      <c r="B111" s="16" t="s">
        <v>69</v>
      </c>
      <c r="C111" s="8" t="s">
        <v>989</v>
      </c>
      <c r="D111" s="17"/>
      <c r="E111" s="16" t="s">
        <v>11</v>
      </c>
      <c r="F111" s="18">
        <v>14902.75</v>
      </c>
      <c r="G111" s="20" t="s">
        <v>616</v>
      </c>
      <c r="H111" s="20" t="s">
        <v>67</v>
      </c>
    </row>
    <row r="112" spans="1:8">
      <c r="A112" s="15" t="s">
        <v>945</v>
      </c>
      <c r="B112" s="16" t="s">
        <v>69</v>
      </c>
      <c r="C112" s="8" t="s">
        <v>1039</v>
      </c>
      <c r="D112" s="17"/>
      <c r="E112" s="16" t="s">
        <v>11</v>
      </c>
      <c r="F112" s="18">
        <v>15071.87</v>
      </c>
      <c r="G112" s="20" t="s">
        <v>105</v>
      </c>
      <c r="H112" s="20" t="s">
        <v>81</v>
      </c>
    </row>
    <row r="113" spans="1:8">
      <c r="A113" s="15" t="s">
        <v>945</v>
      </c>
      <c r="B113" s="16" t="s">
        <v>69</v>
      </c>
      <c r="C113" s="8" t="s">
        <v>1040</v>
      </c>
      <c r="D113" s="17"/>
      <c r="E113" s="16" t="s">
        <v>11</v>
      </c>
      <c r="F113" s="18">
        <v>15304.75</v>
      </c>
      <c r="G113" s="20" t="s">
        <v>277</v>
      </c>
      <c r="H113" s="20" t="s">
        <v>24</v>
      </c>
    </row>
    <row r="114" spans="1:8">
      <c r="A114" s="15" t="s">
        <v>945</v>
      </c>
      <c r="B114" s="16" t="s">
        <v>69</v>
      </c>
      <c r="C114" s="8" t="s">
        <v>963</v>
      </c>
      <c r="D114" s="17"/>
      <c r="E114" s="16" t="s">
        <v>11</v>
      </c>
      <c r="F114" s="18">
        <v>15304.75</v>
      </c>
      <c r="G114" s="20" t="s">
        <v>74</v>
      </c>
      <c r="H114" s="20" t="s">
        <v>24</v>
      </c>
    </row>
    <row r="115" spans="1:8">
      <c r="A115" s="15" t="s">
        <v>945</v>
      </c>
      <c r="B115" s="16" t="s">
        <v>69</v>
      </c>
      <c r="C115" s="8" t="s">
        <v>1041</v>
      </c>
      <c r="D115" s="17"/>
      <c r="E115" s="16" t="s">
        <v>11</v>
      </c>
      <c r="F115" s="18">
        <v>15392.51</v>
      </c>
      <c r="G115" s="20" t="s">
        <v>718</v>
      </c>
      <c r="H115" s="20" t="s">
        <v>24</v>
      </c>
    </row>
    <row r="116" spans="1:8">
      <c r="A116" s="15" t="s">
        <v>945</v>
      </c>
      <c r="B116" s="16" t="s">
        <v>69</v>
      </c>
      <c r="C116" s="8" t="s">
        <v>981</v>
      </c>
      <c r="D116" s="17"/>
      <c r="E116" s="16" t="s">
        <v>11</v>
      </c>
      <c r="F116" s="18">
        <v>15462.5</v>
      </c>
      <c r="G116" s="20" t="s">
        <v>74</v>
      </c>
      <c r="H116" s="20" t="s">
        <v>24</v>
      </c>
    </row>
    <row r="117" spans="1:8">
      <c r="A117" s="15" t="s">
        <v>945</v>
      </c>
      <c r="B117" s="16" t="s">
        <v>69</v>
      </c>
      <c r="C117" s="8" t="s">
        <v>1042</v>
      </c>
      <c r="D117" s="17"/>
      <c r="E117" s="16" t="s">
        <v>11</v>
      </c>
      <c r="F117" s="18">
        <v>15610</v>
      </c>
      <c r="G117" s="20" t="s">
        <v>235</v>
      </c>
      <c r="H117" s="20" t="s">
        <v>67</v>
      </c>
    </row>
    <row r="118" spans="1:8">
      <c r="A118" s="15" t="s">
        <v>945</v>
      </c>
      <c r="B118" s="16" t="s">
        <v>69</v>
      </c>
      <c r="C118" s="8" t="s">
        <v>1043</v>
      </c>
      <c r="D118" s="17"/>
      <c r="E118" s="16" t="s">
        <v>11</v>
      </c>
      <c r="F118" s="18">
        <v>15648.13</v>
      </c>
      <c r="G118" s="20" t="s">
        <v>232</v>
      </c>
      <c r="H118" s="20" t="s">
        <v>24</v>
      </c>
    </row>
    <row r="119" spans="1:8">
      <c r="A119" s="15" t="s">
        <v>945</v>
      </c>
      <c r="B119" s="16" t="s">
        <v>69</v>
      </c>
      <c r="C119" s="8" t="s">
        <v>1022</v>
      </c>
      <c r="D119" s="17"/>
      <c r="E119" s="16" t="s">
        <v>11</v>
      </c>
      <c r="F119" s="18">
        <v>15898.25</v>
      </c>
      <c r="G119" s="20" t="s">
        <v>179</v>
      </c>
      <c r="H119" s="20" t="s">
        <v>81</v>
      </c>
    </row>
    <row r="120" spans="1:8">
      <c r="A120" s="15" t="s">
        <v>945</v>
      </c>
      <c r="B120" s="16" t="s">
        <v>69</v>
      </c>
      <c r="C120" s="8" t="s">
        <v>1044</v>
      </c>
      <c r="D120" s="17"/>
      <c r="E120" s="16" t="s">
        <v>11</v>
      </c>
      <c r="F120" s="18">
        <v>15940.27</v>
      </c>
      <c r="G120" s="19" t="s">
        <v>993</v>
      </c>
      <c r="H120" s="19" t="s">
        <v>47</v>
      </c>
    </row>
    <row r="121" spans="1:8">
      <c r="A121" s="15" t="s">
        <v>945</v>
      </c>
      <c r="B121" s="16" t="s">
        <v>69</v>
      </c>
      <c r="C121" s="8" t="s">
        <v>1045</v>
      </c>
      <c r="D121" s="17"/>
      <c r="E121" s="16" t="s">
        <v>11</v>
      </c>
      <c r="F121" s="18">
        <v>16195.71</v>
      </c>
      <c r="G121" s="20" t="s">
        <v>609</v>
      </c>
      <c r="H121" s="20" t="s">
        <v>81</v>
      </c>
    </row>
    <row r="122" spans="1:8">
      <c r="A122" s="16" t="s">
        <v>945</v>
      </c>
      <c r="B122" s="16" t="s">
        <v>69</v>
      </c>
      <c r="C122" s="16" t="s">
        <v>1046</v>
      </c>
      <c r="D122" s="17"/>
      <c r="E122" s="16" t="s">
        <v>11</v>
      </c>
      <c r="F122" s="18">
        <v>16234</v>
      </c>
      <c r="G122" s="19" t="s">
        <v>36</v>
      </c>
      <c r="H122" s="19" t="s">
        <v>47</v>
      </c>
    </row>
    <row r="123" spans="1:8">
      <c r="A123" s="16" t="s">
        <v>945</v>
      </c>
      <c r="B123" s="16" t="s">
        <v>69</v>
      </c>
      <c r="C123" s="16" t="s">
        <v>1015</v>
      </c>
      <c r="D123" s="17"/>
      <c r="E123" s="16" t="s">
        <v>11</v>
      </c>
      <c r="F123" s="18">
        <v>16361.92</v>
      </c>
      <c r="G123" s="20" t="s">
        <v>74</v>
      </c>
      <c r="H123" s="20" t="s">
        <v>24</v>
      </c>
    </row>
    <row r="124" spans="1:8">
      <c r="A124" s="15" t="s">
        <v>945</v>
      </c>
      <c r="B124" s="16" t="s">
        <v>69</v>
      </c>
      <c r="C124" s="8" t="s">
        <v>1047</v>
      </c>
      <c r="D124" s="17"/>
      <c r="E124" s="16" t="s">
        <v>11</v>
      </c>
      <c r="F124" s="18">
        <v>16494.58</v>
      </c>
      <c r="G124" s="19" t="s">
        <v>993</v>
      </c>
      <c r="H124" s="19" t="s">
        <v>47</v>
      </c>
    </row>
    <row r="125" spans="1:8">
      <c r="A125" s="15" t="s">
        <v>945</v>
      </c>
      <c r="B125" s="16" t="s">
        <v>69</v>
      </c>
      <c r="C125" s="8" t="s">
        <v>964</v>
      </c>
      <c r="D125" s="17"/>
      <c r="E125" s="16" t="s">
        <v>11</v>
      </c>
      <c r="F125" s="18">
        <v>16645.2</v>
      </c>
      <c r="G125" s="20" t="s">
        <v>543</v>
      </c>
      <c r="H125" s="20" t="s">
        <v>81</v>
      </c>
    </row>
    <row r="126" spans="1:8">
      <c r="A126" s="16" t="s">
        <v>945</v>
      </c>
      <c r="B126" s="16" t="s">
        <v>69</v>
      </c>
      <c r="C126" s="16" t="s">
        <v>978</v>
      </c>
      <c r="D126" s="17"/>
      <c r="E126" s="16" t="s">
        <v>11</v>
      </c>
      <c r="F126" s="18">
        <v>17012.07</v>
      </c>
      <c r="G126" s="20" t="s">
        <v>586</v>
      </c>
      <c r="H126" s="20" t="s">
        <v>81</v>
      </c>
    </row>
    <row r="127" spans="1:8">
      <c r="A127" s="15" t="s">
        <v>945</v>
      </c>
      <c r="B127" s="16" t="s">
        <v>69</v>
      </c>
      <c r="C127" s="8" t="s">
        <v>1048</v>
      </c>
      <c r="D127" s="17"/>
      <c r="E127" s="16" t="s">
        <v>11</v>
      </c>
      <c r="F127" s="18">
        <v>17388.45</v>
      </c>
      <c r="G127" s="20" t="s">
        <v>1049</v>
      </c>
      <c r="H127" s="20" t="s">
        <v>67</v>
      </c>
    </row>
    <row r="128" spans="1:8">
      <c r="A128" s="15" t="s">
        <v>945</v>
      </c>
      <c r="B128" s="16" t="s">
        <v>69</v>
      </c>
      <c r="C128" s="8" t="s">
        <v>1000</v>
      </c>
      <c r="D128" s="17"/>
      <c r="E128" s="16" t="s">
        <v>11</v>
      </c>
      <c r="F128" s="18">
        <v>17688.08</v>
      </c>
      <c r="G128" s="20" t="s">
        <v>325</v>
      </c>
      <c r="H128" s="20" t="s">
        <v>81</v>
      </c>
    </row>
    <row r="129" spans="1:8">
      <c r="A129" s="15" t="s">
        <v>945</v>
      </c>
      <c r="B129" s="16" t="s">
        <v>69</v>
      </c>
      <c r="C129" s="8" t="s">
        <v>1050</v>
      </c>
      <c r="D129" s="17"/>
      <c r="E129" s="16" t="s">
        <v>11</v>
      </c>
      <c r="F129" s="18">
        <v>17800.41</v>
      </c>
      <c r="G129" s="20" t="s">
        <v>609</v>
      </c>
      <c r="H129" s="20" t="s">
        <v>81</v>
      </c>
    </row>
    <row r="130" spans="1:8">
      <c r="A130" s="15" t="s">
        <v>945</v>
      </c>
      <c r="B130" s="16" t="s">
        <v>69</v>
      </c>
      <c r="C130" s="8" t="s">
        <v>964</v>
      </c>
      <c r="D130" s="17"/>
      <c r="E130" s="16" t="s">
        <v>11</v>
      </c>
      <c r="F130" s="18">
        <v>17875.26</v>
      </c>
      <c r="G130" s="20" t="s">
        <v>543</v>
      </c>
      <c r="H130" s="20" t="s">
        <v>81</v>
      </c>
    </row>
    <row r="131" spans="1:8">
      <c r="A131" s="15" t="s">
        <v>945</v>
      </c>
      <c r="B131" s="16" t="s">
        <v>69</v>
      </c>
      <c r="C131" s="8" t="s">
        <v>1002</v>
      </c>
      <c r="D131" s="17"/>
      <c r="E131" s="16" t="s">
        <v>11</v>
      </c>
      <c r="F131" s="18">
        <v>17892.27</v>
      </c>
      <c r="G131" s="20" t="s">
        <v>718</v>
      </c>
      <c r="H131" s="20" t="s">
        <v>24</v>
      </c>
    </row>
    <row r="132" spans="1:8">
      <c r="A132" s="15" t="s">
        <v>945</v>
      </c>
      <c r="B132" s="16" t="s">
        <v>69</v>
      </c>
      <c r="C132" s="8" t="s">
        <v>1039</v>
      </c>
      <c r="D132" s="17"/>
      <c r="E132" s="16" t="s">
        <v>11</v>
      </c>
      <c r="F132" s="18">
        <v>18020.54</v>
      </c>
      <c r="G132" s="20" t="s">
        <v>105</v>
      </c>
      <c r="H132" s="20" t="s">
        <v>81</v>
      </c>
    </row>
    <row r="133" spans="1:8">
      <c r="A133" s="15" t="s">
        <v>945</v>
      </c>
      <c r="B133" s="16" t="s">
        <v>69</v>
      </c>
      <c r="C133" s="8" t="s">
        <v>975</v>
      </c>
      <c r="D133" s="17"/>
      <c r="E133" s="16" t="s">
        <v>11</v>
      </c>
      <c r="F133" s="18">
        <v>18070.03</v>
      </c>
      <c r="G133" s="20" t="s">
        <v>976</v>
      </c>
      <c r="H133" s="20" t="s">
        <v>67</v>
      </c>
    </row>
    <row r="134" spans="1:8">
      <c r="A134" s="15" t="s">
        <v>945</v>
      </c>
      <c r="B134" s="16" t="s">
        <v>69</v>
      </c>
      <c r="C134" s="8" t="s">
        <v>975</v>
      </c>
      <c r="D134" s="17"/>
      <c r="E134" s="16" t="s">
        <v>11</v>
      </c>
      <c r="F134" s="18">
        <v>18072.11</v>
      </c>
      <c r="G134" s="20" t="s">
        <v>976</v>
      </c>
      <c r="H134" s="20" t="s">
        <v>67</v>
      </c>
    </row>
    <row r="135" spans="1:8">
      <c r="A135" s="16" t="s">
        <v>945</v>
      </c>
      <c r="B135" s="16" t="s">
        <v>69</v>
      </c>
      <c r="C135" s="8" t="s">
        <v>1051</v>
      </c>
      <c r="D135" s="17"/>
      <c r="E135" s="16" t="s">
        <v>11</v>
      </c>
      <c r="F135" s="18">
        <v>18156.99</v>
      </c>
      <c r="G135" s="20" t="s">
        <v>1052</v>
      </c>
      <c r="H135" s="20" t="s">
        <v>67</v>
      </c>
    </row>
    <row r="136" spans="1:8">
      <c r="A136" s="15" t="s">
        <v>945</v>
      </c>
      <c r="B136" s="16" t="s">
        <v>69</v>
      </c>
      <c r="C136" s="8" t="s">
        <v>1053</v>
      </c>
      <c r="D136" s="17"/>
      <c r="E136" s="16" t="s">
        <v>11</v>
      </c>
      <c r="F136" s="18">
        <v>18471.78</v>
      </c>
      <c r="G136" s="20" t="s">
        <v>1054</v>
      </c>
      <c r="H136" s="20" t="s">
        <v>47</v>
      </c>
    </row>
    <row r="137" spans="1:8">
      <c r="A137" s="15" t="s">
        <v>945</v>
      </c>
      <c r="B137" s="16" t="s">
        <v>69</v>
      </c>
      <c r="C137" s="8" t="s">
        <v>1055</v>
      </c>
      <c r="D137" s="17"/>
      <c r="E137" s="16" t="s">
        <v>11</v>
      </c>
      <c r="F137" s="18">
        <v>18574.65</v>
      </c>
      <c r="G137" s="20" t="s">
        <v>226</v>
      </c>
      <c r="H137" s="20" t="s">
        <v>1056</v>
      </c>
    </row>
    <row r="138" spans="1:8">
      <c r="A138" s="15" t="s">
        <v>945</v>
      </c>
      <c r="B138" s="16" t="s">
        <v>69</v>
      </c>
      <c r="C138" s="8" t="s">
        <v>947</v>
      </c>
      <c r="D138" s="17"/>
      <c r="E138" s="16" t="s">
        <v>11</v>
      </c>
      <c r="F138" s="18">
        <v>18605.65</v>
      </c>
      <c r="G138" s="20" t="s">
        <v>948</v>
      </c>
      <c r="H138" s="20" t="s">
        <v>81</v>
      </c>
    </row>
    <row r="139" spans="1:8">
      <c r="A139" s="16" t="s">
        <v>945</v>
      </c>
      <c r="B139" s="16" t="s">
        <v>69</v>
      </c>
      <c r="C139" s="8" t="s">
        <v>1057</v>
      </c>
      <c r="D139" s="17"/>
      <c r="E139" s="16" t="s">
        <v>11</v>
      </c>
      <c r="F139" s="18">
        <v>18721.49</v>
      </c>
      <c r="G139" s="20" t="s">
        <v>36</v>
      </c>
      <c r="H139" s="20" t="s">
        <v>47</v>
      </c>
    </row>
    <row r="140" ht="30" spans="1:8">
      <c r="A140" s="15" t="s">
        <v>945</v>
      </c>
      <c r="B140" s="16" t="s">
        <v>69</v>
      </c>
      <c r="C140" s="8" t="s">
        <v>954</v>
      </c>
      <c r="D140" s="17"/>
      <c r="E140" s="16" t="s">
        <v>11</v>
      </c>
      <c r="F140" s="18">
        <v>19280.03</v>
      </c>
      <c r="G140" s="20" t="s">
        <v>36</v>
      </c>
      <c r="H140" s="20" t="s">
        <v>1058</v>
      </c>
    </row>
    <row r="141" spans="1:8">
      <c r="A141" s="15" t="s">
        <v>945</v>
      </c>
      <c r="B141" s="16" t="s">
        <v>69</v>
      </c>
      <c r="C141" s="8" t="s">
        <v>1059</v>
      </c>
      <c r="D141" s="17"/>
      <c r="E141" s="16" t="s">
        <v>11</v>
      </c>
      <c r="F141" s="18">
        <v>19909.31</v>
      </c>
      <c r="G141" s="20" t="s">
        <v>36</v>
      </c>
      <c r="H141" s="20" t="s">
        <v>24</v>
      </c>
    </row>
    <row r="142" spans="1:8">
      <c r="A142" s="15" t="s">
        <v>945</v>
      </c>
      <c r="B142" s="16" t="s">
        <v>69</v>
      </c>
      <c r="C142" s="8" t="s">
        <v>1060</v>
      </c>
      <c r="D142" s="17"/>
      <c r="E142" s="16" t="s">
        <v>11</v>
      </c>
      <c r="F142" s="18">
        <v>19944</v>
      </c>
      <c r="G142" s="20" t="s">
        <v>201</v>
      </c>
      <c r="H142" s="20" t="s">
        <v>24</v>
      </c>
    </row>
    <row r="143" spans="1:8">
      <c r="A143" s="15" t="s">
        <v>945</v>
      </c>
      <c r="B143" s="16" t="s">
        <v>69</v>
      </c>
      <c r="C143" s="8" t="s">
        <v>1040</v>
      </c>
      <c r="D143" s="17"/>
      <c r="E143" s="16" t="s">
        <v>11</v>
      </c>
      <c r="F143" s="18">
        <v>20229.09</v>
      </c>
      <c r="G143" s="20" t="s">
        <v>277</v>
      </c>
      <c r="H143" s="20" t="s">
        <v>24</v>
      </c>
    </row>
    <row r="144" spans="1:8">
      <c r="A144" s="15" t="s">
        <v>945</v>
      </c>
      <c r="B144" s="16" t="s">
        <v>69</v>
      </c>
      <c r="C144" s="8" t="s">
        <v>1061</v>
      </c>
      <c r="D144" s="17"/>
      <c r="E144" s="16" t="s">
        <v>11</v>
      </c>
      <c r="F144" s="18">
        <v>20489.13</v>
      </c>
      <c r="G144" s="20" t="s">
        <v>74</v>
      </c>
      <c r="H144" s="20" t="s">
        <v>24</v>
      </c>
    </row>
    <row r="145" spans="1:8">
      <c r="A145" s="16" t="s">
        <v>945</v>
      </c>
      <c r="B145" s="16" t="s">
        <v>69</v>
      </c>
      <c r="C145" s="16" t="s">
        <v>1015</v>
      </c>
      <c r="D145" s="17"/>
      <c r="E145" s="16" t="s">
        <v>11</v>
      </c>
      <c r="F145" s="18">
        <v>20536.86</v>
      </c>
      <c r="G145" s="20" t="s">
        <v>1062</v>
      </c>
      <c r="H145" s="20" t="s">
        <v>24</v>
      </c>
    </row>
    <row r="146" spans="1:8">
      <c r="A146" s="15" t="s">
        <v>945</v>
      </c>
      <c r="B146" s="16" t="s">
        <v>69</v>
      </c>
      <c r="C146" s="8" t="s">
        <v>1022</v>
      </c>
      <c r="D146" s="17"/>
      <c r="E146" s="16" t="s">
        <v>11</v>
      </c>
      <c r="F146" s="18">
        <v>20892.64</v>
      </c>
      <c r="G146" s="20" t="s">
        <v>179</v>
      </c>
      <c r="H146" s="20" t="s">
        <v>81</v>
      </c>
    </row>
    <row r="147" spans="1:8">
      <c r="A147" s="15" t="s">
        <v>945</v>
      </c>
      <c r="B147" s="16" t="s">
        <v>69</v>
      </c>
      <c r="C147" s="8" t="s">
        <v>1063</v>
      </c>
      <c r="D147" s="17"/>
      <c r="E147" s="16" t="s">
        <v>11</v>
      </c>
      <c r="F147" s="18">
        <v>20900</v>
      </c>
      <c r="G147" s="20" t="s">
        <v>1064</v>
      </c>
      <c r="H147" s="20" t="s">
        <v>1056</v>
      </c>
    </row>
    <row r="148" spans="1:8">
      <c r="A148" s="15" t="s">
        <v>945</v>
      </c>
      <c r="B148" s="16" t="s">
        <v>69</v>
      </c>
      <c r="C148" s="8" t="s">
        <v>1050</v>
      </c>
      <c r="D148" s="17"/>
      <c r="E148" s="16" t="s">
        <v>11</v>
      </c>
      <c r="F148" s="18">
        <v>21076.63</v>
      </c>
      <c r="G148" s="20" t="s">
        <v>609</v>
      </c>
      <c r="H148" s="20" t="s">
        <v>81</v>
      </c>
    </row>
    <row r="149" spans="1:8">
      <c r="A149" s="16" t="s">
        <v>945</v>
      </c>
      <c r="B149" s="16" t="s">
        <v>69</v>
      </c>
      <c r="C149" s="16" t="s">
        <v>1015</v>
      </c>
      <c r="D149" s="17"/>
      <c r="E149" s="16" t="s">
        <v>11</v>
      </c>
      <c r="F149" s="18">
        <v>21543.01</v>
      </c>
      <c r="G149" s="20" t="s">
        <v>74</v>
      </c>
      <c r="H149" s="20" t="s">
        <v>24</v>
      </c>
    </row>
    <row r="150" spans="1:8">
      <c r="A150" s="15" t="s">
        <v>945</v>
      </c>
      <c r="B150" s="16" t="s">
        <v>69</v>
      </c>
      <c r="C150" s="8" t="s">
        <v>1065</v>
      </c>
      <c r="D150" s="17"/>
      <c r="E150" s="16" t="s">
        <v>11</v>
      </c>
      <c r="F150" s="18">
        <v>21700</v>
      </c>
      <c r="G150" s="20" t="s">
        <v>201</v>
      </c>
      <c r="H150" s="20" t="s">
        <v>24</v>
      </c>
    </row>
    <row r="151" spans="1:8">
      <c r="A151" s="15" t="s">
        <v>945</v>
      </c>
      <c r="B151" s="16" t="s">
        <v>69</v>
      </c>
      <c r="C151" s="8" t="s">
        <v>1066</v>
      </c>
      <c r="D151" s="17"/>
      <c r="E151" s="16" t="s">
        <v>11</v>
      </c>
      <c r="F151" s="18">
        <v>21980</v>
      </c>
      <c r="G151" s="20" t="s">
        <v>636</v>
      </c>
      <c r="H151" s="20" t="s">
        <v>24</v>
      </c>
    </row>
    <row r="152" spans="1:8">
      <c r="A152" s="15" t="s">
        <v>945</v>
      </c>
      <c r="B152" s="16" t="s">
        <v>69</v>
      </c>
      <c r="C152" s="8" t="s">
        <v>1035</v>
      </c>
      <c r="D152" s="17"/>
      <c r="E152" s="16" t="s">
        <v>11</v>
      </c>
      <c r="F152" s="18">
        <v>22002.93</v>
      </c>
      <c r="G152" s="20" t="s">
        <v>356</v>
      </c>
      <c r="H152" s="20" t="s">
        <v>67</v>
      </c>
    </row>
    <row r="153" ht="30" spans="1:8">
      <c r="A153" s="15" t="s">
        <v>945</v>
      </c>
      <c r="B153" s="16" t="s">
        <v>69</v>
      </c>
      <c r="C153" s="8" t="s">
        <v>954</v>
      </c>
      <c r="D153" s="17"/>
      <c r="E153" s="16" t="s">
        <v>11</v>
      </c>
      <c r="F153" s="18">
        <v>22016.86</v>
      </c>
      <c r="G153" s="20" t="s">
        <v>36</v>
      </c>
      <c r="H153" s="20" t="s">
        <v>1058</v>
      </c>
    </row>
    <row r="154" spans="1:8">
      <c r="A154" s="15" t="s">
        <v>945</v>
      </c>
      <c r="B154" s="16" t="s">
        <v>69</v>
      </c>
      <c r="C154" s="8" t="s">
        <v>1043</v>
      </c>
      <c r="D154" s="17"/>
      <c r="E154" s="16" t="s">
        <v>11</v>
      </c>
      <c r="F154" s="18">
        <v>22501.93</v>
      </c>
      <c r="G154" s="20" t="s">
        <v>232</v>
      </c>
      <c r="H154" s="20" t="s">
        <v>24</v>
      </c>
    </row>
    <row r="155" spans="1:8">
      <c r="A155" s="15" t="s">
        <v>945</v>
      </c>
      <c r="B155" s="16" t="s">
        <v>69</v>
      </c>
      <c r="C155" s="8" t="s">
        <v>946</v>
      </c>
      <c r="D155" s="17"/>
      <c r="E155" s="16" t="s">
        <v>11</v>
      </c>
      <c r="F155" s="18">
        <v>22504.75</v>
      </c>
      <c r="G155" s="19" t="s">
        <v>543</v>
      </c>
      <c r="H155" s="19" t="s">
        <v>81</v>
      </c>
    </row>
    <row r="156" spans="1:8">
      <c r="A156" s="15" t="s">
        <v>945</v>
      </c>
      <c r="B156" s="16" t="s">
        <v>69</v>
      </c>
      <c r="C156" s="8" t="s">
        <v>1028</v>
      </c>
      <c r="D156" s="17"/>
      <c r="E156" s="16" t="s">
        <v>11</v>
      </c>
      <c r="F156" s="18">
        <v>22571.76</v>
      </c>
      <c r="G156" s="20" t="s">
        <v>1029</v>
      </c>
      <c r="H156" s="20" t="s">
        <v>24</v>
      </c>
    </row>
    <row r="157" spans="1:8">
      <c r="A157" s="15" t="s">
        <v>945</v>
      </c>
      <c r="B157" s="16" t="s">
        <v>69</v>
      </c>
      <c r="C157" s="8" t="s">
        <v>1067</v>
      </c>
      <c r="D157" s="17"/>
      <c r="E157" s="16" t="s">
        <v>11</v>
      </c>
      <c r="F157" s="18">
        <v>22900.53</v>
      </c>
      <c r="G157" s="19" t="s">
        <v>972</v>
      </c>
      <c r="H157" s="19" t="s">
        <v>24</v>
      </c>
    </row>
    <row r="158" spans="1:8">
      <c r="A158" s="16" t="s">
        <v>945</v>
      </c>
      <c r="B158" s="16" t="s">
        <v>69</v>
      </c>
      <c r="C158" s="8" t="s">
        <v>1068</v>
      </c>
      <c r="D158" s="17"/>
      <c r="E158" s="16" t="s">
        <v>11</v>
      </c>
      <c r="F158" s="18">
        <v>24143.31</v>
      </c>
      <c r="G158" s="20" t="s">
        <v>31</v>
      </c>
      <c r="H158" s="20" t="s">
        <v>24</v>
      </c>
    </row>
    <row r="159" spans="1:8">
      <c r="A159" s="15" t="s">
        <v>945</v>
      </c>
      <c r="B159" s="16" t="s">
        <v>69</v>
      </c>
      <c r="C159" s="8" t="s">
        <v>1019</v>
      </c>
      <c r="D159" s="17"/>
      <c r="E159" s="16" t="s">
        <v>11</v>
      </c>
      <c r="F159" s="18">
        <v>24188.1</v>
      </c>
      <c r="G159" s="20" t="s">
        <v>636</v>
      </c>
      <c r="H159" s="20" t="s">
        <v>24</v>
      </c>
    </row>
    <row r="160" spans="1:8">
      <c r="A160" s="15" t="s">
        <v>945</v>
      </c>
      <c r="B160" s="16" t="s">
        <v>69</v>
      </c>
      <c r="C160" s="8" t="s">
        <v>1059</v>
      </c>
      <c r="D160" s="17"/>
      <c r="E160" s="16" t="s">
        <v>11</v>
      </c>
      <c r="F160" s="18">
        <v>24224.72</v>
      </c>
      <c r="G160" s="20" t="s">
        <v>36</v>
      </c>
      <c r="H160" s="20" t="s">
        <v>24</v>
      </c>
    </row>
    <row r="161" ht="30" spans="1:8">
      <c r="A161" s="16" t="s">
        <v>945</v>
      </c>
      <c r="B161" s="16" t="s">
        <v>69</v>
      </c>
      <c r="C161" s="8" t="s">
        <v>1069</v>
      </c>
      <c r="D161" s="17"/>
      <c r="E161" s="16" t="s">
        <v>11</v>
      </c>
      <c r="F161" s="18">
        <v>24248.68</v>
      </c>
      <c r="G161" s="20" t="s">
        <v>1070</v>
      </c>
      <c r="H161" s="20" t="s">
        <v>1058</v>
      </c>
    </row>
    <row r="162" spans="1:8">
      <c r="A162" s="16" t="s">
        <v>945</v>
      </c>
      <c r="B162" s="16" t="s">
        <v>69</v>
      </c>
      <c r="C162" s="8" t="s">
        <v>1071</v>
      </c>
      <c r="D162" s="17"/>
      <c r="E162" s="16" t="s">
        <v>11</v>
      </c>
      <c r="F162" s="18">
        <v>24308.81</v>
      </c>
      <c r="G162" s="20" t="s">
        <v>78</v>
      </c>
      <c r="H162" s="20" t="s">
        <v>24</v>
      </c>
    </row>
    <row r="163" spans="1:8">
      <c r="A163" s="15" t="s">
        <v>945</v>
      </c>
      <c r="B163" s="16" t="s">
        <v>69</v>
      </c>
      <c r="C163" s="8" t="s">
        <v>1025</v>
      </c>
      <c r="D163" s="17"/>
      <c r="E163" s="16" t="s">
        <v>11</v>
      </c>
      <c r="F163" s="18">
        <v>24525.41</v>
      </c>
      <c r="G163" s="20" t="s">
        <v>554</v>
      </c>
      <c r="H163" s="20" t="s">
        <v>28</v>
      </c>
    </row>
    <row r="164" spans="1:8">
      <c r="A164" s="15" t="s">
        <v>945</v>
      </c>
      <c r="B164" s="16" t="s">
        <v>69</v>
      </c>
      <c r="C164" s="8" t="s">
        <v>1072</v>
      </c>
      <c r="D164" s="17"/>
      <c r="E164" s="16" t="s">
        <v>11</v>
      </c>
      <c r="F164" s="18">
        <v>24660.7</v>
      </c>
      <c r="G164" s="20" t="s">
        <v>105</v>
      </c>
      <c r="H164" s="20" t="s">
        <v>81</v>
      </c>
    </row>
    <row r="165" spans="1:8">
      <c r="A165" s="15" t="s">
        <v>945</v>
      </c>
      <c r="B165" s="16" t="s">
        <v>69</v>
      </c>
      <c r="C165" s="8" t="s">
        <v>1073</v>
      </c>
      <c r="D165" s="17"/>
      <c r="E165" s="16" t="s">
        <v>11</v>
      </c>
      <c r="F165" s="18">
        <v>25023.32</v>
      </c>
      <c r="G165" s="20" t="s">
        <v>972</v>
      </c>
      <c r="H165" s="20" t="s">
        <v>24</v>
      </c>
    </row>
    <row r="166" spans="1:8">
      <c r="A166" s="16" t="s">
        <v>945</v>
      </c>
      <c r="B166" s="16" t="s">
        <v>69</v>
      </c>
      <c r="C166" s="16" t="s">
        <v>1074</v>
      </c>
      <c r="D166" s="17"/>
      <c r="E166" s="16" t="s">
        <v>11</v>
      </c>
      <c r="F166" s="18">
        <v>25331.75</v>
      </c>
      <c r="G166" s="20" t="s">
        <v>36</v>
      </c>
      <c r="H166" s="20" t="s">
        <v>36</v>
      </c>
    </row>
    <row r="167" spans="1:8">
      <c r="A167" s="15" t="s">
        <v>945</v>
      </c>
      <c r="B167" s="16" t="s">
        <v>69</v>
      </c>
      <c r="C167" s="8" t="s">
        <v>1075</v>
      </c>
      <c r="D167" s="17"/>
      <c r="E167" s="16" t="s">
        <v>11</v>
      </c>
      <c r="F167" s="18">
        <v>25670.36</v>
      </c>
      <c r="G167" s="20" t="s">
        <v>1076</v>
      </c>
      <c r="H167" s="20" t="s">
        <v>28</v>
      </c>
    </row>
    <row r="168" spans="1:8">
      <c r="A168" s="16" t="s">
        <v>945</v>
      </c>
      <c r="B168" s="16" t="s">
        <v>69</v>
      </c>
      <c r="C168" s="8" t="s">
        <v>1077</v>
      </c>
      <c r="D168" s="17"/>
      <c r="E168" s="16" t="s">
        <v>11</v>
      </c>
      <c r="F168" s="18">
        <v>25870.57</v>
      </c>
      <c r="G168" s="16" t="s">
        <v>14</v>
      </c>
      <c r="H168" s="16" t="s">
        <v>14</v>
      </c>
    </row>
    <row r="169" spans="1:8">
      <c r="A169" s="15" t="s">
        <v>945</v>
      </c>
      <c r="B169" s="16" t="s">
        <v>69</v>
      </c>
      <c r="C169" s="8" t="s">
        <v>987</v>
      </c>
      <c r="D169" s="17"/>
      <c r="E169" s="16" t="s">
        <v>11</v>
      </c>
      <c r="F169" s="18">
        <v>25889.11</v>
      </c>
      <c r="G169" s="20" t="s">
        <v>141</v>
      </c>
      <c r="H169" s="20" t="s">
        <v>47</v>
      </c>
    </row>
    <row r="170" spans="1:8">
      <c r="A170" s="15" t="s">
        <v>945</v>
      </c>
      <c r="B170" s="16" t="s">
        <v>69</v>
      </c>
      <c r="C170" s="8" t="s">
        <v>1041</v>
      </c>
      <c r="D170" s="17"/>
      <c r="E170" s="16" t="s">
        <v>11</v>
      </c>
      <c r="F170" s="18">
        <v>26468.32</v>
      </c>
      <c r="G170" s="20" t="s">
        <v>718</v>
      </c>
      <c r="H170" s="20" t="s">
        <v>24</v>
      </c>
    </row>
    <row r="171" spans="1:8">
      <c r="A171" s="15" t="s">
        <v>945</v>
      </c>
      <c r="B171" s="16" t="s">
        <v>69</v>
      </c>
      <c r="C171" s="8" t="s">
        <v>987</v>
      </c>
      <c r="D171" s="17"/>
      <c r="E171" s="16" t="s">
        <v>11</v>
      </c>
      <c r="F171" s="18">
        <v>26718.42</v>
      </c>
      <c r="G171" s="20" t="s">
        <v>141</v>
      </c>
      <c r="H171" s="20" t="s">
        <v>47</v>
      </c>
    </row>
    <row r="172" spans="1:8">
      <c r="A172" s="15" t="s">
        <v>945</v>
      </c>
      <c r="B172" s="16" t="s">
        <v>69</v>
      </c>
      <c r="C172" s="8" t="s">
        <v>1078</v>
      </c>
      <c r="D172" s="17"/>
      <c r="E172" s="16" t="s">
        <v>11</v>
      </c>
      <c r="F172" s="18">
        <v>26784</v>
      </c>
      <c r="G172" s="20" t="s">
        <v>288</v>
      </c>
      <c r="H172" s="20" t="s">
        <v>24</v>
      </c>
    </row>
    <row r="173" spans="1:8">
      <c r="A173" s="15" t="s">
        <v>945</v>
      </c>
      <c r="B173" s="16" t="s">
        <v>69</v>
      </c>
      <c r="C173" s="8" t="s">
        <v>1039</v>
      </c>
      <c r="D173" s="17"/>
      <c r="E173" s="16" t="s">
        <v>11</v>
      </c>
      <c r="F173" s="18">
        <v>26966.06</v>
      </c>
      <c r="G173" s="20" t="s">
        <v>105</v>
      </c>
      <c r="H173" s="20" t="s">
        <v>81</v>
      </c>
    </row>
    <row r="174" spans="1:8">
      <c r="A174" s="15" t="s">
        <v>945</v>
      </c>
      <c r="B174" s="16" t="s">
        <v>69</v>
      </c>
      <c r="C174" s="8" t="s">
        <v>1079</v>
      </c>
      <c r="D174" s="17"/>
      <c r="E174" s="16" t="s">
        <v>11</v>
      </c>
      <c r="F174" s="18">
        <v>27301</v>
      </c>
      <c r="G174" s="19" t="s">
        <v>1038</v>
      </c>
      <c r="H174" s="19" t="s">
        <v>47</v>
      </c>
    </row>
    <row r="175" spans="1:8">
      <c r="A175" s="15" t="s">
        <v>945</v>
      </c>
      <c r="B175" s="16" t="s">
        <v>69</v>
      </c>
      <c r="C175" s="8" t="s">
        <v>1080</v>
      </c>
      <c r="D175" s="17"/>
      <c r="E175" s="16" t="s">
        <v>11</v>
      </c>
      <c r="F175" s="18">
        <v>27504.98</v>
      </c>
      <c r="G175" s="20" t="s">
        <v>1062</v>
      </c>
      <c r="H175" s="20" t="s">
        <v>24</v>
      </c>
    </row>
    <row r="176" spans="1:8">
      <c r="A176" s="15" t="s">
        <v>945</v>
      </c>
      <c r="B176" s="16" t="s">
        <v>69</v>
      </c>
      <c r="C176" s="8" t="s">
        <v>1081</v>
      </c>
      <c r="D176" s="17"/>
      <c r="E176" s="16" t="s">
        <v>11</v>
      </c>
      <c r="F176" s="18">
        <v>27561</v>
      </c>
      <c r="G176" s="16" t="s">
        <v>1082</v>
      </c>
      <c r="H176" s="20" t="s">
        <v>67</v>
      </c>
    </row>
    <row r="177" spans="1:8">
      <c r="A177" s="15" t="s">
        <v>945</v>
      </c>
      <c r="B177" s="16" t="s">
        <v>69</v>
      </c>
      <c r="C177" s="8" t="s">
        <v>1083</v>
      </c>
      <c r="D177" s="17"/>
      <c r="E177" s="16" t="s">
        <v>11</v>
      </c>
      <c r="F177" s="18">
        <v>27710</v>
      </c>
      <c r="G177" s="20" t="s">
        <v>972</v>
      </c>
      <c r="H177" s="20" t="s">
        <v>24</v>
      </c>
    </row>
    <row r="178" spans="1:8">
      <c r="A178" s="15" t="s">
        <v>945</v>
      </c>
      <c r="B178" s="16" t="s">
        <v>69</v>
      </c>
      <c r="C178" s="8" t="s">
        <v>989</v>
      </c>
      <c r="D178" s="17"/>
      <c r="E178" s="16" t="s">
        <v>11</v>
      </c>
      <c r="F178" s="18">
        <v>28303.29</v>
      </c>
      <c r="G178" s="20" t="s">
        <v>616</v>
      </c>
      <c r="H178" s="20" t="s">
        <v>67</v>
      </c>
    </row>
    <row r="179" spans="1:8">
      <c r="A179" s="15" t="s">
        <v>945</v>
      </c>
      <c r="B179" s="16" t="s">
        <v>69</v>
      </c>
      <c r="C179" s="8" t="s">
        <v>1073</v>
      </c>
      <c r="D179" s="17"/>
      <c r="E179" s="16" t="s">
        <v>11</v>
      </c>
      <c r="F179" s="18">
        <v>28718.16</v>
      </c>
      <c r="G179" s="20" t="s">
        <v>972</v>
      </c>
      <c r="H179" s="20" t="s">
        <v>24</v>
      </c>
    </row>
    <row r="180" spans="1:8">
      <c r="A180" s="15" t="s">
        <v>945</v>
      </c>
      <c r="B180" s="16" t="s">
        <v>69</v>
      </c>
      <c r="C180" s="8" t="s">
        <v>1084</v>
      </c>
      <c r="D180" s="17"/>
      <c r="E180" s="16" t="s">
        <v>11</v>
      </c>
      <c r="F180" s="18">
        <v>28800</v>
      </c>
      <c r="G180" s="20" t="s">
        <v>66</v>
      </c>
      <c r="H180" s="20" t="s">
        <v>67</v>
      </c>
    </row>
    <row r="181" spans="1:8">
      <c r="A181" s="15" t="s">
        <v>945</v>
      </c>
      <c r="B181" s="16" t="s">
        <v>69</v>
      </c>
      <c r="C181" s="8" t="s">
        <v>975</v>
      </c>
      <c r="D181" s="17"/>
      <c r="E181" s="16" t="s">
        <v>11</v>
      </c>
      <c r="F181" s="18">
        <v>28814.75</v>
      </c>
      <c r="G181" s="20" t="s">
        <v>976</v>
      </c>
      <c r="H181" s="20" t="s">
        <v>67</v>
      </c>
    </row>
    <row r="182" spans="1:8">
      <c r="A182" s="15" t="s">
        <v>945</v>
      </c>
      <c r="B182" s="16" t="s">
        <v>69</v>
      </c>
      <c r="C182" s="8" t="s">
        <v>1085</v>
      </c>
      <c r="D182" s="17"/>
      <c r="E182" s="16" t="s">
        <v>11</v>
      </c>
      <c r="F182" s="18">
        <v>29158.7</v>
      </c>
      <c r="G182" s="20" t="s">
        <v>66</v>
      </c>
      <c r="H182" s="20" t="s">
        <v>67</v>
      </c>
    </row>
    <row r="183" spans="1:8">
      <c r="A183" s="16" t="s">
        <v>945</v>
      </c>
      <c r="B183" s="16" t="s">
        <v>69</v>
      </c>
      <c r="C183" s="16" t="s">
        <v>1015</v>
      </c>
      <c r="D183" s="17"/>
      <c r="E183" s="16" t="s">
        <v>11</v>
      </c>
      <c r="F183" s="18">
        <v>29719.25</v>
      </c>
      <c r="G183" s="20" t="s">
        <v>74</v>
      </c>
      <c r="H183" s="20" t="s">
        <v>24</v>
      </c>
    </row>
    <row r="184" spans="1:8">
      <c r="A184" s="15" t="s">
        <v>945</v>
      </c>
      <c r="B184" s="16" t="s">
        <v>69</v>
      </c>
      <c r="C184" s="8" t="s">
        <v>975</v>
      </c>
      <c r="D184" s="17"/>
      <c r="E184" s="16" t="s">
        <v>11</v>
      </c>
      <c r="F184" s="18">
        <v>29782.73</v>
      </c>
      <c r="G184" s="20" t="s">
        <v>976</v>
      </c>
      <c r="H184" s="20" t="s">
        <v>67</v>
      </c>
    </row>
    <row r="185" spans="1:8">
      <c r="A185" s="16" t="s">
        <v>945</v>
      </c>
      <c r="B185" s="16" t="s">
        <v>69</v>
      </c>
      <c r="C185" s="16" t="s">
        <v>998</v>
      </c>
      <c r="D185" s="17"/>
      <c r="E185" s="16" t="s">
        <v>11</v>
      </c>
      <c r="F185" s="18">
        <v>30014.78</v>
      </c>
      <c r="G185" s="20" t="s">
        <v>1009</v>
      </c>
      <c r="H185" s="20" t="s">
        <v>67</v>
      </c>
    </row>
    <row r="186" spans="1:8">
      <c r="A186" s="16" t="s">
        <v>945</v>
      </c>
      <c r="B186" s="16" t="s">
        <v>69</v>
      </c>
      <c r="C186" s="8" t="s">
        <v>958</v>
      </c>
      <c r="D186" s="17"/>
      <c r="E186" s="16" t="s">
        <v>11</v>
      </c>
      <c r="F186" s="18">
        <v>30060.62</v>
      </c>
      <c r="G186" s="20" t="s">
        <v>462</v>
      </c>
      <c r="H186" s="20" t="s">
        <v>47</v>
      </c>
    </row>
    <row r="187" spans="1:8">
      <c r="A187" s="15" t="s">
        <v>945</v>
      </c>
      <c r="B187" s="16" t="s">
        <v>69</v>
      </c>
      <c r="C187" s="16" t="s">
        <v>1086</v>
      </c>
      <c r="D187" s="17"/>
      <c r="E187" s="16" t="s">
        <v>11</v>
      </c>
      <c r="F187" s="18">
        <v>30750.69</v>
      </c>
      <c r="G187" s="20" t="s">
        <v>543</v>
      </c>
      <c r="H187" s="20" t="s">
        <v>81</v>
      </c>
    </row>
    <row r="188" spans="1:8">
      <c r="A188" s="15" t="s">
        <v>945</v>
      </c>
      <c r="B188" s="16" t="s">
        <v>69</v>
      </c>
      <c r="C188" s="8" t="s">
        <v>1043</v>
      </c>
      <c r="D188" s="17"/>
      <c r="E188" s="16" t="s">
        <v>11</v>
      </c>
      <c r="F188" s="18">
        <v>31078.37</v>
      </c>
      <c r="G188" s="20" t="s">
        <v>232</v>
      </c>
      <c r="H188" s="20" t="s">
        <v>24</v>
      </c>
    </row>
    <row r="189" spans="1:8">
      <c r="A189" s="15" t="s">
        <v>945</v>
      </c>
      <c r="B189" s="16" t="s">
        <v>69</v>
      </c>
      <c r="C189" s="8" t="s">
        <v>952</v>
      </c>
      <c r="D189" s="17"/>
      <c r="E189" s="16" t="s">
        <v>11</v>
      </c>
      <c r="F189" s="18">
        <v>31300.95</v>
      </c>
      <c r="G189" s="20" t="s">
        <v>953</v>
      </c>
      <c r="H189" s="20" t="s">
        <v>81</v>
      </c>
    </row>
    <row r="190" spans="1:8">
      <c r="A190" s="15" t="s">
        <v>945</v>
      </c>
      <c r="B190" s="16" t="s">
        <v>69</v>
      </c>
      <c r="C190" s="8" t="s">
        <v>1087</v>
      </c>
      <c r="D190" s="17"/>
      <c r="E190" s="16" t="s">
        <v>11</v>
      </c>
      <c r="F190" s="18">
        <v>31463.5</v>
      </c>
      <c r="G190" s="19" t="s">
        <v>1012</v>
      </c>
      <c r="H190" s="19" t="s">
        <v>28</v>
      </c>
    </row>
    <row r="191" spans="1:8">
      <c r="A191" s="15" t="s">
        <v>945</v>
      </c>
      <c r="B191" s="16" t="s">
        <v>69</v>
      </c>
      <c r="C191" s="8" t="s">
        <v>1088</v>
      </c>
      <c r="D191" s="17"/>
      <c r="E191" s="16" t="s">
        <v>11</v>
      </c>
      <c r="F191" s="18">
        <v>31931.25</v>
      </c>
      <c r="G191" s="20" t="s">
        <v>948</v>
      </c>
      <c r="H191" s="20" t="s">
        <v>81</v>
      </c>
    </row>
    <row r="192" spans="1:8">
      <c r="A192" s="15" t="s">
        <v>945</v>
      </c>
      <c r="B192" s="16" t="s">
        <v>69</v>
      </c>
      <c r="C192" s="8" t="s">
        <v>1089</v>
      </c>
      <c r="D192" s="17"/>
      <c r="E192" s="16" t="s">
        <v>11</v>
      </c>
      <c r="F192" s="18">
        <v>31968.86</v>
      </c>
      <c r="G192" s="20" t="s">
        <v>66</v>
      </c>
      <c r="H192" s="20" t="s">
        <v>67</v>
      </c>
    </row>
    <row r="193" spans="1:8">
      <c r="A193" s="15" t="s">
        <v>945</v>
      </c>
      <c r="B193" s="16" t="s">
        <v>69</v>
      </c>
      <c r="C193" s="8" t="s">
        <v>1090</v>
      </c>
      <c r="D193" s="17"/>
      <c r="E193" s="16" t="s">
        <v>11</v>
      </c>
      <c r="F193" s="18">
        <v>32095.77</v>
      </c>
      <c r="G193" s="20" t="s">
        <v>35</v>
      </c>
      <c r="H193" s="20" t="s">
        <v>24</v>
      </c>
    </row>
    <row r="194" spans="1:8">
      <c r="A194" s="15" t="s">
        <v>945</v>
      </c>
      <c r="B194" s="16" t="s">
        <v>69</v>
      </c>
      <c r="C194" s="8" t="s">
        <v>1091</v>
      </c>
      <c r="D194" s="17"/>
      <c r="E194" s="16" t="s">
        <v>11</v>
      </c>
      <c r="F194" s="18">
        <v>32639.77</v>
      </c>
      <c r="G194" s="20" t="s">
        <v>201</v>
      </c>
      <c r="H194" s="20" t="s">
        <v>24</v>
      </c>
    </row>
    <row r="195" spans="1:8">
      <c r="A195" s="15" t="s">
        <v>945</v>
      </c>
      <c r="B195" s="16" t="s">
        <v>69</v>
      </c>
      <c r="C195" s="8" t="s">
        <v>1092</v>
      </c>
      <c r="D195" s="17"/>
      <c r="E195" s="16" t="s">
        <v>11</v>
      </c>
      <c r="F195" s="18">
        <v>32856.42</v>
      </c>
      <c r="G195" s="20" t="s">
        <v>74</v>
      </c>
      <c r="H195" s="20" t="s">
        <v>24</v>
      </c>
    </row>
    <row r="196" spans="1:8">
      <c r="A196" s="15" t="s">
        <v>945</v>
      </c>
      <c r="B196" s="16" t="s">
        <v>69</v>
      </c>
      <c r="C196" s="8" t="s">
        <v>1093</v>
      </c>
      <c r="D196" s="17"/>
      <c r="E196" s="16" t="s">
        <v>11</v>
      </c>
      <c r="F196" s="18">
        <v>32860</v>
      </c>
      <c r="G196" s="20" t="s">
        <v>277</v>
      </c>
      <c r="H196" s="20" t="s">
        <v>24</v>
      </c>
    </row>
    <row r="197" spans="1:8">
      <c r="A197" s="15" t="s">
        <v>945</v>
      </c>
      <c r="B197" s="16" t="s">
        <v>69</v>
      </c>
      <c r="C197" s="8" t="s">
        <v>1094</v>
      </c>
      <c r="D197" s="17"/>
      <c r="E197" s="16" t="s">
        <v>11</v>
      </c>
      <c r="F197" s="18">
        <v>32954.23</v>
      </c>
      <c r="G197" s="20" t="s">
        <v>1095</v>
      </c>
      <c r="H197" s="20" t="s">
        <v>47</v>
      </c>
    </row>
    <row r="198" spans="1:8">
      <c r="A198" s="16" t="s">
        <v>945</v>
      </c>
      <c r="B198" s="16" t="s">
        <v>69</v>
      </c>
      <c r="C198" s="8" t="s">
        <v>1096</v>
      </c>
      <c r="D198" s="17"/>
      <c r="E198" s="16" t="s">
        <v>11</v>
      </c>
      <c r="F198" s="18">
        <v>33038.5</v>
      </c>
      <c r="G198" s="20" t="s">
        <v>235</v>
      </c>
      <c r="H198" s="20" t="s">
        <v>67</v>
      </c>
    </row>
    <row r="199" spans="1:8">
      <c r="A199" s="15" t="s">
        <v>945</v>
      </c>
      <c r="B199" s="16" t="s">
        <v>69</v>
      </c>
      <c r="C199" s="8" t="s">
        <v>1097</v>
      </c>
      <c r="D199" s="17"/>
      <c r="E199" s="16" t="s">
        <v>11</v>
      </c>
      <c r="F199" s="18">
        <v>33080.28</v>
      </c>
      <c r="G199" s="20" t="s">
        <v>636</v>
      </c>
      <c r="H199" s="20" t="s">
        <v>24</v>
      </c>
    </row>
    <row r="200" spans="1:8">
      <c r="A200" s="15" t="s">
        <v>945</v>
      </c>
      <c r="B200" s="16" t="s">
        <v>69</v>
      </c>
      <c r="C200" s="8" t="s">
        <v>1073</v>
      </c>
      <c r="D200" s="17"/>
      <c r="E200" s="16" t="s">
        <v>11</v>
      </c>
      <c r="F200" s="18">
        <v>34031.68</v>
      </c>
      <c r="G200" s="20" t="s">
        <v>972</v>
      </c>
      <c r="H200" s="20" t="s">
        <v>24</v>
      </c>
    </row>
    <row r="201" spans="1:8">
      <c r="A201" s="16" t="s">
        <v>945</v>
      </c>
      <c r="B201" s="16" t="s">
        <v>69</v>
      </c>
      <c r="C201" s="8" t="s">
        <v>1098</v>
      </c>
      <c r="D201" s="17"/>
      <c r="E201" s="16" t="s">
        <v>11</v>
      </c>
      <c r="F201" s="18">
        <v>34654.58</v>
      </c>
      <c r="G201" s="20" t="s">
        <v>235</v>
      </c>
      <c r="H201" s="20" t="s">
        <v>67</v>
      </c>
    </row>
    <row r="202" spans="1:8">
      <c r="A202" s="15" t="s">
        <v>945</v>
      </c>
      <c r="B202" s="16" t="s">
        <v>69</v>
      </c>
      <c r="C202" s="8" t="s">
        <v>980</v>
      </c>
      <c r="D202" s="17"/>
      <c r="E202" s="16" t="s">
        <v>11</v>
      </c>
      <c r="F202" s="18">
        <v>34725.76</v>
      </c>
      <c r="G202" s="20" t="s">
        <v>35</v>
      </c>
      <c r="H202" s="20" t="s">
        <v>24</v>
      </c>
    </row>
    <row r="203" spans="1:8">
      <c r="A203" s="15" t="s">
        <v>945</v>
      </c>
      <c r="B203" s="16" t="s">
        <v>69</v>
      </c>
      <c r="C203" s="8" t="s">
        <v>985</v>
      </c>
      <c r="D203" s="17"/>
      <c r="E203" s="16" t="s">
        <v>11</v>
      </c>
      <c r="F203" s="18">
        <v>34983.56</v>
      </c>
      <c r="G203" s="20" t="s">
        <v>986</v>
      </c>
      <c r="H203" s="20" t="s">
        <v>67</v>
      </c>
    </row>
    <row r="204" spans="1:8">
      <c r="A204" s="15" t="s">
        <v>945</v>
      </c>
      <c r="B204" s="16" t="s">
        <v>69</v>
      </c>
      <c r="C204" s="8" t="s">
        <v>975</v>
      </c>
      <c r="D204" s="17"/>
      <c r="E204" s="16" t="s">
        <v>11</v>
      </c>
      <c r="F204" s="18">
        <v>35006.39</v>
      </c>
      <c r="G204" s="20" t="s">
        <v>976</v>
      </c>
      <c r="H204" s="20" t="s">
        <v>67</v>
      </c>
    </row>
    <row r="205" spans="1:8">
      <c r="A205" s="15" t="s">
        <v>945</v>
      </c>
      <c r="B205" s="16" t="s">
        <v>69</v>
      </c>
      <c r="C205" s="8" t="s">
        <v>1089</v>
      </c>
      <c r="D205" s="17"/>
      <c r="E205" s="16" t="s">
        <v>11</v>
      </c>
      <c r="F205" s="18">
        <v>35237.1</v>
      </c>
      <c r="G205" s="20" t="s">
        <v>66</v>
      </c>
      <c r="H205" s="20" t="s">
        <v>67</v>
      </c>
    </row>
    <row r="206" spans="1:8">
      <c r="A206" s="15" t="s">
        <v>945</v>
      </c>
      <c r="B206" s="16" t="s">
        <v>69</v>
      </c>
      <c r="C206" s="8" t="s">
        <v>1035</v>
      </c>
      <c r="D206" s="17"/>
      <c r="E206" s="16" t="s">
        <v>11</v>
      </c>
      <c r="F206" s="18">
        <v>35305.44</v>
      </c>
      <c r="G206" s="20" t="s">
        <v>356</v>
      </c>
      <c r="H206" s="20" t="s">
        <v>67</v>
      </c>
    </row>
    <row r="207" spans="1:8">
      <c r="A207" s="15" t="s">
        <v>945</v>
      </c>
      <c r="B207" s="16" t="s">
        <v>69</v>
      </c>
      <c r="C207" s="8" t="s">
        <v>1003</v>
      </c>
      <c r="D207" s="17"/>
      <c r="E207" s="16" t="s">
        <v>11</v>
      </c>
      <c r="F207" s="18">
        <v>35764.19</v>
      </c>
      <c r="G207" s="20" t="s">
        <v>1004</v>
      </c>
      <c r="H207" s="20" t="s">
        <v>81</v>
      </c>
    </row>
    <row r="208" spans="1:8">
      <c r="A208" s="16" t="s">
        <v>945</v>
      </c>
      <c r="B208" s="16" t="s">
        <v>69</v>
      </c>
      <c r="C208" s="8" t="s">
        <v>1099</v>
      </c>
      <c r="D208" s="17"/>
      <c r="E208" s="16" t="s">
        <v>11</v>
      </c>
      <c r="F208" s="18">
        <v>35860.8</v>
      </c>
      <c r="G208" s="20" t="s">
        <v>986</v>
      </c>
      <c r="H208" s="20" t="s">
        <v>67</v>
      </c>
    </row>
    <row r="209" spans="1:8">
      <c r="A209" s="16" t="s">
        <v>945</v>
      </c>
      <c r="B209" s="16" t="s">
        <v>69</v>
      </c>
      <c r="C209" s="8" t="s">
        <v>1100</v>
      </c>
      <c r="D209" s="17"/>
      <c r="E209" s="16" t="s">
        <v>11</v>
      </c>
      <c r="F209" s="18">
        <v>35943.54</v>
      </c>
      <c r="G209" s="20" t="s">
        <v>972</v>
      </c>
      <c r="H209" s="20" t="s">
        <v>24</v>
      </c>
    </row>
    <row r="210" spans="1:8">
      <c r="A210" s="15" t="s">
        <v>945</v>
      </c>
      <c r="B210" s="16" t="s">
        <v>69</v>
      </c>
      <c r="C210" s="8" t="s">
        <v>1101</v>
      </c>
      <c r="D210" s="17"/>
      <c r="E210" s="16" t="s">
        <v>11</v>
      </c>
      <c r="F210" s="18">
        <v>36170.44</v>
      </c>
      <c r="G210" s="20" t="s">
        <v>274</v>
      </c>
      <c r="H210" s="20" t="s">
        <v>47</v>
      </c>
    </row>
    <row r="211" spans="1:8">
      <c r="A211" s="16" t="s">
        <v>945</v>
      </c>
      <c r="B211" s="16" t="s">
        <v>69</v>
      </c>
      <c r="C211" s="8" t="s">
        <v>960</v>
      </c>
      <c r="D211" s="17"/>
      <c r="E211" s="16" t="s">
        <v>11</v>
      </c>
      <c r="F211" s="18">
        <v>36175.2</v>
      </c>
      <c r="G211" s="20" t="s">
        <v>210</v>
      </c>
      <c r="H211" s="20" t="s">
        <v>36</v>
      </c>
    </row>
    <row r="212" spans="1:8">
      <c r="A212" s="15" t="s">
        <v>945</v>
      </c>
      <c r="B212" s="16" t="s">
        <v>69</v>
      </c>
      <c r="C212" s="8" t="s">
        <v>1007</v>
      </c>
      <c r="D212" s="17"/>
      <c r="E212" s="16" t="s">
        <v>11</v>
      </c>
      <c r="F212" s="18">
        <v>36472.57</v>
      </c>
      <c r="G212" s="19" t="s">
        <v>46</v>
      </c>
      <c r="H212" s="19" t="s">
        <v>47</v>
      </c>
    </row>
    <row r="213" spans="1:8">
      <c r="A213" s="15" t="s">
        <v>945</v>
      </c>
      <c r="B213" s="16" t="s">
        <v>69</v>
      </c>
      <c r="C213" s="8" t="s">
        <v>963</v>
      </c>
      <c r="D213" s="17"/>
      <c r="E213" s="16" t="s">
        <v>11</v>
      </c>
      <c r="F213" s="18">
        <v>36568.44</v>
      </c>
      <c r="G213" s="20" t="s">
        <v>74</v>
      </c>
      <c r="H213" s="20" t="s">
        <v>24</v>
      </c>
    </row>
    <row r="214" spans="1:8">
      <c r="A214" s="15" t="s">
        <v>945</v>
      </c>
      <c r="B214" s="16" t="s">
        <v>69</v>
      </c>
      <c r="C214" s="8" t="s">
        <v>1066</v>
      </c>
      <c r="D214" s="17"/>
      <c r="E214" s="16" t="s">
        <v>11</v>
      </c>
      <c r="F214" s="18">
        <v>37250.08</v>
      </c>
      <c r="G214" s="20" t="s">
        <v>636</v>
      </c>
      <c r="H214" s="20" t="s">
        <v>24</v>
      </c>
    </row>
    <row r="215" spans="1:8">
      <c r="A215" s="15" t="s">
        <v>945</v>
      </c>
      <c r="B215" s="16" t="s">
        <v>69</v>
      </c>
      <c r="C215" s="8" t="s">
        <v>1102</v>
      </c>
      <c r="D215" s="17"/>
      <c r="E215" s="16" t="s">
        <v>11</v>
      </c>
      <c r="F215" s="18">
        <v>37725.93</v>
      </c>
      <c r="G215" s="20" t="s">
        <v>66</v>
      </c>
      <c r="H215" s="20" t="s">
        <v>67</v>
      </c>
    </row>
    <row r="216" spans="1:8">
      <c r="A216" s="15" t="s">
        <v>945</v>
      </c>
      <c r="B216" s="16" t="s">
        <v>69</v>
      </c>
      <c r="C216" s="8" t="s">
        <v>1103</v>
      </c>
      <c r="D216" s="17"/>
      <c r="E216" s="16" t="s">
        <v>11</v>
      </c>
      <c r="F216" s="18">
        <v>38701.56</v>
      </c>
      <c r="G216" s="20" t="s">
        <v>201</v>
      </c>
      <c r="H216" s="20" t="s">
        <v>24</v>
      </c>
    </row>
    <row r="217" spans="1:8">
      <c r="A217" s="15" t="s">
        <v>945</v>
      </c>
      <c r="B217" s="16" t="s">
        <v>69</v>
      </c>
      <c r="C217" s="8" t="s">
        <v>1104</v>
      </c>
      <c r="D217" s="17"/>
      <c r="E217" s="16" t="s">
        <v>11</v>
      </c>
      <c r="F217" s="18">
        <v>38726.25</v>
      </c>
      <c r="G217" s="20" t="s">
        <v>74</v>
      </c>
      <c r="H217" s="20" t="s">
        <v>24</v>
      </c>
    </row>
    <row r="218" spans="1:8">
      <c r="A218" s="15" t="s">
        <v>945</v>
      </c>
      <c r="B218" s="16" t="s">
        <v>69</v>
      </c>
      <c r="C218" s="8" t="s">
        <v>1105</v>
      </c>
      <c r="D218" s="17"/>
      <c r="E218" s="16" t="s">
        <v>11</v>
      </c>
      <c r="F218" s="18">
        <v>38973.32</v>
      </c>
      <c r="G218" s="20" t="s">
        <v>50</v>
      </c>
      <c r="H218" s="20" t="s">
        <v>47</v>
      </c>
    </row>
    <row r="219" spans="1:8">
      <c r="A219" s="15" t="s">
        <v>945</v>
      </c>
      <c r="B219" s="16" t="s">
        <v>69</v>
      </c>
      <c r="C219" s="16" t="s">
        <v>1106</v>
      </c>
      <c r="D219" s="17"/>
      <c r="E219" s="16" t="s">
        <v>11</v>
      </c>
      <c r="F219" s="18">
        <v>39353.38</v>
      </c>
      <c r="G219" s="20" t="s">
        <v>1107</v>
      </c>
      <c r="H219" s="20" t="s">
        <v>47</v>
      </c>
    </row>
    <row r="220" spans="1:8">
      <c r="A220" s="15" t="s">
        <v>945</v>
      </c>
      <c r="B220" s="16" t="s">
        <v>69</v>
      </c>
      <c r="C220" s="8" t="s">
        <v>1108</v>
      </c>
      <c r="D220" s="17"/>
      <c r="E220" s="16" t="s">
        <v>11</v>
      </c>
      <c r="F220" s="18">
        <v>39429.3</v>
      </c>
      <c r="G220" s="20" t="s">
        <v>74</v>
      </c>
      <c r="H220" s="20" t="s">
        <v>24</v>
      </c>
    </row>
    <row r="221" spans="1:8">
      <c r="A221" s="15" t="s">
        <v>945</v>
      </c>
      <c r="B221" s="16" t="s">
        <v>69</v>
      </c>
      <c r="C221" s="16" t="s">
        <v>1109</v>
      </c>
      <c r="D221" s="17"/>
      <c r="E221" s="16" t="s">
        <v>11</v>
      </c>
      <c r="F221" s="18">
        <v>39807</v>
      </c>
      <c r="G221" s="20" t="s">
        <v>1107</v>
      </c>
      <c r="H221" s="20" t="s">
        <v>47</v>
      </c>
    </row>
    <row r="222" spans="1:8">
      <c r="A222" s="16" t="s">
        <v>945</v>
      </c>
      <c r="B222" s="16" t="s">
        <v>69</v>
      </c>
      <c r="C222" s="8" t="s">
        <v>1110</v>
      </c>
      <c r="D222" s="17"/>
      <c r="E222" s="16" t="s">
        <v>11</v>
      </c>
      <c r="F222" s="18">
        <v>39883.19</v>
      </c>
      <c r="G222" s="20" t="s">
        <v>596</v>
      </c>
      <c r="H222" s="20" t="s">
        <v>24</v>
      </c>
    </row>
    <row r="223" spans="1:8">
      <c r="A223" s="15" t="s">
        <v>945</v>
      </c>
      <c r="B223" s="16" t="s">
        <v>69</v>
      </c>
      <c r="C223" s="8" t="s">
        <v>974</v>
      </c>
      <c r="D223" s="17"/>
      <c r="E223" s="16" t="s">
        <v>11</v>
      </c>
      <c r="F223" s="18">
        <v>39999.82</v>
      </c>
      <c r="G223" s="20" t="s">
        <v>356</v>
      </c>
      <c r="H223" s="20" t="s">
        <v>67</v>
      </c>
    </row>
    <row r="224" spans="1:8">
      <c r="A224" s="15" t="s">
        <v>945</v>
      </c>
      <c r="B224" s="16" t="s">
        <v>69</v>
      </c>
      <c r="C224" s="8" t="s">
        <v>1061</v>
      </c>
      <c r="D224" s="17"/>
      <c r="E224" s="16" t="s">
        <v>11</v>
      </c>
      <c r="F224" s="18">
        <v>40307.64</v>
      </c>
      <c r="G224" s="20" t="s">
        <v>74</v>
      </c>
      <c r="H224" s="20" t="s">
        <v>24</v>
      </c>
    </row>
    <row r="225" spans="1:8">
      <c r="A225" s="15" t="s">
        <v>945</v>
      </c>
      <c r="B225" s="16" t="s">
        <v>69</v>
      </c>
      <c r="C225" s="8" t="s">
        <v>1111</v>
      </c>
      <c r="D225" s="17"/>
      <c r="E225" s="16" t="s">
        <v>11</v>
      </c>
      <c r="F225" s="18">
        <v>40368.05</v>
      </c>
      <c r="G225" s="20" t="s">
        <v>962</v>
      </c>
      <c r="H225" s="20" t="s">
        <v>47</v>
      </c>
    </row>
    <row r="226" spans="1:8">
      <c r="A226" s="15" t="s">
        <v>945</v>
      </c>
      <c r="B226" s="16" t="s">
        <v>69</v>
      </c>
      <c r="C226" s="8" t="s">
        <v>1112</v>
      </c>
      <c r="D226" s="17"/>
      <c r="E226" s="16" t="s">
        <v>11</v>
      </c>
      <c r="F226" s="18">
        <v>40428.8</v>
      </c>
      <c r="G226" s="20" t="s">
        <v>474</v>
      </c>
      <c r="H226" s="20" t="s">
        <v>28</v>
      </c>
    </row>
    <row r="227" spans="1:8">
      <c r="A227" s="16" t="s">
        <v>945</v>
      </c>
      <c r="B227" s="16" t="s">
        <v>69</v>
      </c>
      <c r="C227" s="8" t="s">
        <v>994</v>
      </c>
      <c r="D227" s="17"/>
      <c r="E227" s="16" t="s">
        <v>11</v>
      </c>
      <c r="F227" s="18">
        <v>40528</v>
      </c>
      <c r="G227" s="20" t="s">
        <v>356</v>
      </c>
      <c r="H227" s="20" t="s">
        <v>67</v>
      </c>
    </row>
    <row r="228" spans="1:8">
      <c r="A228" s="15" t="s">
        <v>945</v>
      </c>
      <c r="B228" s="16" t="s">
        <v>69</v>
      </c>
      <c r="C228" s="8" t="s">
        <v>1089</v>
      </c>
      <c r="D228" s="17"/>
      <c r="E228" s="16" t="s">
        <v>11</v>
      </c>
      <c r="F228" s="18">
        <v>40607.89</v>
      </c>
      <c r="G228" s="20" t="s">
        <v>66</v>
      </c>
      <c r="H228" s="20" t="s">
        <v>67</v>
      </c>
    </row>
    <row r="229" spans="1:8">
      <c r="A229" s="15" t="s">
        <v>945</v>
      </c>
      <c r="B229" s="16" t="s">
        <v>69</v>
      </c>
      <c r="C229" s="8" t="s">
        <v>1113</v>
      </c>
      <c r="D229" s="17"/>
      <c r="E229" s="16" t="s">
        <v>11</v>
      </c>
      <c r="F229" s="18">
        <v>40891.84</v>
      </c>
      <c r="G229" s="20" t="s">
        <v>586</v>
      </c>
      <c r="H229" s="20" t="s">
        <v>81</v>
      </c>
    </row>
    <row r="230" spans="1:8">
      <c r="A230" s="15" t="s">
        <v>945</v>
      </c>
      <c r="B230" s="16" t="s">
        <v>69</v>
      </c>
      <c r="C230" s="8" t="s">
        <v>1102</v>
      </c>
      <c r="D230" s="17"/>
      <c r="E230" s="16" t="s">
        <v>11</v>
      </c>
      <c r="F230" s="18">
        <v>41006.39</v>
      </c>
      <c r="G230" s="20" t="s">
        <v>66</v>
      </c>
      <c r="H230" s="20" t="s">
        <v>67</v>
      </c>
    </row>
    <row r="231" spans="1:8">
      <c r="A231" s="16" t="s">
        <v>945</v>
      </c>
      <c r="B231" s="16" t="s">
        <v>69</v>
      </c>
      <c r="C231" s="16" t="s">
        <v>1015</v>
      </c>
      <c r="D231" s="17"/>
      <c r="E231" s="16" t="s">
        <v>11</v>
      </c>
      <c r="F231" s="18">
        <v>41125.23</v>
      </c>
      <c r="G231" s="20" t="s">
        <v>74</v>
      </c>
      <c r="H231" s="20" t="s">
        <v>24</v>
      </c>
    </row>
    <row r="232" spans="1:8">
      <c r="A232" s="15" t="s">
        <v>945</v>
      </c>
      <c r="B232" s="16" t="s">
        <v>69</v>
      </c>
      <c r="C232" s="8" t="s">
        <v>1089</v>
      </c>
      <c r="D232" s="17"/>
      <c r="E232" s="16" t="s">
        <v>11</v>
      </c>
      <c r="F232" s="18">
        <v>41191.91</v>
      </c>
      <c r="G232" s="20" t="s">
        <v>66</v>
      </c>
      <c r="H232" s="20" t="s">
        <v>67</v>
      </c>
    </row>
    <row r="233" spans="1:8">
      <c r="A233" s="15" t="s">
        <v>945</v>
      </c>
      <c r="B233" s="16" t="s">
        <v>69</v>
      </c>
      <c r="C233" s="8" t="s">
        <v>952</v>
      </c>
      <c r="D233" s="17"/>
      <c r="E233" s="16" t="s">
        <v>11</v>
      </c>
      <c r="F233" s="18">
        <v>41540.69</v>
      </c>
      <c r="G233" s="20" t="s">
        <v>953</v>
      </c>
      <c r="H233" s="20" t="s">
        <v>81</v>
      </c>
    </row>
    <row r="234" spans="1:8">
      <c r="A234" s="16" t="s">
        <v>945</v>
      </c>
      <c r="B234" s="16" t="s">
        <v>69</v>
      </c>
      <c r="C234" s="16" t="s">
        <v>1016</v>
      </c>
      <c r="D234" s="17"/>
      <c r="E234" s="16" t="s">
        <v>11</v>
      </c>
      <c r="F234" s="18">
        <v>41562.02</v>
      </c>
      <c r="G234" s="20" t="s">
        <v>36</v>
      </c>
      <c r="H234" s="20" t="s">
        <v>47</v>
      </c>
    </row>
    <row r="235" spans="1:8">
      <c r="A235" s="15" t="s">
        <v>945</v>
      </c>
      <c r="B235" s="16" t="s">
        <v>69</v>
      </c>
      <c r="C235" s="8" t="s">
        <v>1114</v>
      </c>
      <c r="D235" s="17"/>
      <c r="E235" s="16" t="s">
        <v>11</v>
      </c>
      <c r="F235" s="18">
        <v>41993.85</v>
      </c>
      <c r="G235" s="20" t="s">
        <v>277</v>
      </c>
      <c r="H235" s="20" t="s">
        <v>24</v>
      </c>
    </row>
    <row r="236" spans="1:8">
      <c r="A236" s="16" t="s">
        <v>945</v>
      </c>
      <c r="B236" s="16" t="s">
        <v>69</v>
      </c>
      <c r="C236" s="8" t="s">
        <v>1115</v>
      </c>
      <c r="D236" s="17"/>
      <c r="E236" s="16" t="s">
        <v>11</v>
      </c>
      <c r="F236" s="18">
        <v>42103.63</v>
      </c>
      <c r="G236" s="20" t="s">
        <v>462</v>
      </c>
      <c r="H236" s="20" t="s">
        <v>47</v>
      </c>
    </row>
    <row r="237" spans="1:8">
      <c r="A237" s="15" t="s">
        <v>945</v>
      </c>
      <c r="B237" s="16" t="s">
        <v>69</v>
      </c>
      <c r="C237" s="8" t="s">
        <v>1116</v>
      </c>
      <c r="D237" s="17"/>
      <c r="E237" s="16" t="s">
        <v>11</v>
      </c>
      <c r="F237" s="18">
        <v>42519.47</v>
      </c>
      <c r="G237" s="20" t="s">
        <v>66</v>
      </c>
      <c r="H237" s="20" t="s">
        <v>67</v>
      </c>
    </row>
    <row r="238" spans="1:8">
      <c r="A238" s="16" t="s">
        <v>945</v>
      </c>
      <c r="B238" s="16" t="s">
        <v>69</v>
      </c>
      <c r="C238" s="8" t="s">
        <v>1068</v>
      </c>
      <c r="D238" s="17"/>
      <c r="E238" s="16" t="s">
        <v>11</v>
      </c>
      <c r="F238" s="18">
        <v>42871.19</v>
      </c>
      <c r="G238" s="20" t="s">
        <v>31</v>
      </c>
      <c r="H238" s="20" t="s">
        <v>24</v>
      </c>
    </row>
    <row r="239" spans="1:8">
      <c r="A239" s="15" t="s">
        <v>945</v>
      </c>
      <c r="B239" s="16" t="s">
        <v>69</v>
      </c>
      <c r="C239" s="8" t="s">
        <v>1035</v>
      </c>
      <c r="D239" s="17"/>
      <c r="E239" s="16" t="s">
        <v>11</v>
      </c>
      <c r="F239" s="18">
        <v>43006.39</v>
      </c>
      <c r="G239" s="20" t="s">
        <v>356</v>
      </c>
      <c r="H239" s="20" t="s">
        <v>67</v>
      </c>
    </row>
    <row r="240" spans="1:8">
      <c r="A240" s="15" t="s">
        <v>945</v>
      </c>
      <c r="B240" s="16" t="s">
        <v>69</v>
      </c>
      <c r="C240" s="8" t="s">
        <v>954</v>
      </c>
      <c r="D240" s="17"/>
      <c r="E240" s="16" t="s">
        <v>11</v>
      </c>
      <c r="F240" s="18">
        <v>43748.71</v>
      </c>
      <c r="G240" s="20" t="s">
        <v>36</v>
      </c>
      <c r="H240" s="20" t="s">
        <v>36</v>
      </c>
    </row>
    <row r="241" spans="1:8">
      <c r="A241" s="15" t="s">
        <v>945</v>
      </c>
      <c r="B241" s="16" t="s">
        <v>69</v>
      </c>
      <c r="C241" s="8" t="s">
        <v>1117</v>
      </c>
      <c r="D241" s="17"/>
      <c r="E241" s="16" t="s">
        <v>11</v>
      </c>
      <c r="F241" s="18">
        <v>43855.45</v>
      </c>
      <c r="G241" s="20" t="s">
        <v>74</v>
      </c>
      <c r="H241" s="20" t="s">
        <v>24</v>
      </c>
    </row>
    <row r="242" spans="1:8">
      <c r="A242" s="15" t="s">
        <v>945</v>
      </c>
      <c r="B242" s="16" t="s">
        <v>69</v>
      </c>
      <c r="C242" s="8" t="s">
        <v>1118</v>
      </c>
      <c r="D242" s="17"/>
      <c r="E242" s="16" t="s">
        <v>11</v>
      </c>
      <c r="F242" s="18">
        <v>43926.4</v>
      </c>
      <c r="G242" s="20" t="s">
        <v>232</v>
      </c>
      <c r="H242" s="20" t="s">
        <v>24</v>
      </c>
    </row>
    <row r="243" spans="1:8">
      <c r="A243" s="15" t="s">
        <v>945</v>
      </c>
      <c r="B243" s="16" t="s">
        <v>69</v>
      </c>
      <c r="C243" s="8" t="s">
        <v>995</v>
      </c>
      <c r="D243" s="17"/>
      <c r="E243" s="16" t="s">
        <v>11</v>
      </c>
      <c r="F243" s="18">
        <v>44505.39</v>
      </c>
      <c r="G243" s="20" t="s">
        <v>235</v>
      </c>
      <c r="H243" s="20" t="s">
        <v>67</v>
      </c>
    </row>
    <row r="244" spans="1:8">
      <c r="A244" s="15" t="s">
        <v>945</v>
      </c>
      <c r="B244" s="16" t="s">
        <v>69</v>
      </c>
      <c r="C244" s="8" t="s">
        <v>1119</v>
      </c>
      <c r="D244" s="17"/>
      <c r="E244" s="16" t="s">
        <v>11</v>
      </c>
      <c r="F244" s="18">
        <v>44634.22</v>
      </c>
      <c r="G244" s="20" t="s">
        <v>201</v>
      </c>
      <c r="H244" s="20" t="s">
        <v>24</v>
      </c>
    </row>
    <row r="245" spans="1:8">
      <c r="A245" s="15" t="s">
        <v>945</v>
      </c>
      <c r="B245" s="16" t="s">
        <v>69</v>
      </c>
      <c r="C245" s="8" t="s">
        <v>1073</v>
      </c>
      <c r="D245" s="17"/>
      <c r="E245" s="16" t="s">
        <v>11</v>
      </c>
      <c r="F245" s="18">
        <v>44681.12</v>
      </c>
      <c r="G245" s="20" t="s">
        <v>972</v>
      </c>
      <c r="H245" s="20" t="s">
        <v>24</v>
      </c>
    </row>
    <row r="246" spans="1:8">
      <c r="A246" s="15" t="s">
        <v>945</v>
      </c>
      <c r="B246" s="16" t="s">
        <v>69</v>
      </c>
      <c r="C246" s="8" t="s">
        <v>1039</v>
      </c>
      <c r="D246" s="17"/>
      <c r="E246" s="16" t="s">
        <v>11</v>
      </c>
      <c r="F246" s="18">
        <v>44949.26</v>
      </c>
      <c r="G246" s="20" t="s">
        <v>105</v>
      </c>
      <c r="H246" s="20" t="s">
        <v>81</v>
      </c>
    </row>
    <row r="247" spans="1:8">
      <c r="A247" s="15" t="s">
        <v>945</v>
      </c>
      <c r="B247" s="16" t="s">
        <v>69</v>
      </c>
      <c r="C247" s="8" t="s">
        <v>1120</v>
      </c>
      <c r="D247" s="17"/>
      <c r="E247" s="16" t="s">
        <v>11</v>
      </c>
      <c r="F247" s="18">
        <v>45250.44</v>
      </c>
      <c r="G247" s="19" t="s">
        <v>274</v>
      </c>
      <c r="H247" s="19" t="s">
        <v>47</v>
      </c>
    </row>
    <row r="248" spans="1:8">
      <c r="A248" s="15" t="s">
        <v>945</v>
      </c>
      <c r="B248" s="16" t="s">
        <v>69</v>
      </c>
      <c r="C248" s="8" t="s">
        <v>975</v>
      </c>
      <c r="D248" s="17"/>
      <c r="E248" s="16" t="s">
        <v>11</v>
      </c>
      <c r="F248" s="18">
        <v>45528.25</v>
      </c>
      <c r="G248" s="20" t="s">
        <v>976</v>
      </c>
      <c r="H248" s="20" t="s">
        <v>67</v>
      </c>
    </row>
    <row r="249" spans="1:8">
      <c r="A249" s="16" t="s">
        <v>945</v>
      </c>
      <c r="B249" s="16" t="s">
        <v>69</v>
      </c>
      <c r="C249" s="8" t="s">
        <v>1096</v>
      </c>
      <c r="D249" s="17"/>
      <c r="E249" s="16" t="s">
        <v>11</v>
      </c>
      <c r="F249" s="18">
        <v>45668.85</v>
      </c>
      <c r="G249" s="20" t="s">
        <v>986</v>
      </c>
      <c r="H249" s="20" t="s">
        <v>67</v>
      </c>
    </row>
    <row r="250" spans="1:8">
      <c r="A250" s="15" t="s">
        <v>945</v>
      </c>
      <c r="B250" s="16" t="s">
        <v>69</v>
      </c>
      <c r="C250" s="8" t="s">
        <v>955</v>
      </c>
      <c r="D250" s="17"/>
      <c r="E250" s="16" t="s">
        <v>11</v>
      </c>
      <c r="F250" s="18">
        <v>46005.05</v>
      </c>
      <c r="G250" s="20" t="s">
        <v>179</v>
      </c>
      <c r="H250" s="20" t="s">
        <v>81</v>
      </c>
    </row>
    <row r="251" spans="1:8">
      <c r="A251" s="15" t="s">
        <v>945</v>
      </c>
      <c r="B251" s="16" t="s">
        <v>69</v>
      </c>
      <c r="C251" s="8" t="s">
        <v>981</v>
      </c>
      <c r="D251" s="17"/>
      <c r="E251" s="16" t="s">
        <v>11</v>
      </c>
      <c r="F251" s="18">
        <v>46052.02</v>
      </c>
      <c r="G251" s="20" t="s">
        <v>74</v>
      </c>
      <c r="H251" s="20" t="s">
        <v>24</v>
      </c>
    </row>
    <row r="252" spans="1:8">
      <c r="A252" s="15" t="s">
        <v>945</v>
      </c>
      <c r="B252" s="16" t="s">
        <v>69</v>
      </c>
      <c r="C252" s="8" t="s">
        <v>956</v>
      </c>
      <c r="D252" s="17"/>
      <c r="E252" s="16" t="s">
        <v>11</v>
      </c>
      <c r="F252" s="18">
        <v>46526.1</v>
      </c>
      <c r="G252" s="20" t="s">
        <v>36</v>
      </c>
      <c r="H252" s="20" t="s">
        <v>36</v>
      </c>
    </row>
    <row r="253" spans="1:8">
      <c r="A253" s="15" t="s">
        <v>945</v>
      </c>
      <c r="B253" s="16" t="s">
        <v>69</v>
      </c>
      <c r="C253" s="8" t="s">
        <v>1121</v>
      </c>
      <c r="D253" s="17"/>
      <c r="E253" s="16" t="s">
        <v>11</v>
      </c>
      <c r="F253" s="18">
        <v>46951.75</v>
      </c>
      <c r="G253" s="19" t="s">
        <v>972</v>
      </c>
      <c r="H253" s="19" t="s">
        <v>24</v>
      </c>
    </row>
    <row r="254" spans="1:8">
      <c r="A254" s="15" t="s">
        <v>945</v>
      </c>
      <c r="B254" s="16" t="s">
        <v>69</v>
      </c>
      <c r="C254" s="8" t="s">
        <v>1122</v>
      </c>
      <c r="D254" s="17"/>
      <c r="E254" s="16" t="s">
        <v>11</v>
      </c>
      <c r="F254" s="18">
        <v>46958.1</v>
      </c>
      <c r="G254" s="20" t="s">
        <v>616</v>
      </c>
      <c r="H254" s="20" t="s">
        <v>67</v>
      </c>
    </row>
    <row r="255" spans="1:8">
      <c r="A255" s="15" t="s">
        <v>945</v>
      </c>
      <c r="B255" s="16" t="s">
        <v>69</v>
      </c>
      <c r="C255" s="8" t="s">
        <v>1039</v>
      </c>
      <c r="D255" s="17"/>
      <c r="E255" s="16" t="s">
        <v>11</v>
      </c>
      <c r="F255" s="18">
        <v>47811.46</v>
      </c>
      <c r="G255" s="20" t="s">
        <v>105</v>
      </c>
      <c r="H255" s="20" t="s">
        <v>81</v>
      </c>
    </row>
    <row r="256" spans="1:8">
      <c r="A256" s="15" t="s">
        <v>945</v>
      </c>
      <c r="B256" s="16" t="s">
        <v>69</v>
      </c>
      <c r="C256" s="8" t="s">
        <v>1101</v>
      </c>
      <c r="D256" s="17"/>
      <c r="E256" s="16" t="s">
        <v>11</v>
      </c>
      <c r="F256" s="18">
        <v>48068.68</v>
      </c>
      <c r="G256" s="20" t="s">
        <v>274</v>
      </c>
      <c r="H256" s="20" t="s">
        <v>47</v>
      </c>
    </row>
    <row r="257" spans="1:8">
      <c r="A257" s="15" t="s">
        <v>945</v>
      </c>
      <c r="B257" s="16" t="s">
        <v>69</v>
      </c>
      <c r="C257" s="8" t="s">
        <v>1123</v>
      </c>
      <c r="D257" s="17"/>
      <c r="E257" s="16" t="s">
        <v>11</v>
      </c>
      <c r="F257" s="18">
        <v>48123.42</v>
      </c>
      <c r="G257" s="20" t="s">
        <v>43</v>
      </c>
      <c r="H257" s="20" t="s">
        <v>24</v>
      </c>
    </row>
    <row r="258" spans="1:8">
      <c r="A258" s="15" t="s">
        <v>945</v>
      </c>
      <c r="B258" s="16" t="s">
        <v>69</v>
      </c>
      <c r="C258" s="8" t="s">
        <v>981</v>
      </c>
      <c r="D258" s="17"/>
      <c r="E258" s="16" t="s">
        <v>11</v>
      </c>
      <c r="F258" s="18">
        <v>48352.28</v>
      </c>
      <c r="G258" s="20" t="s">
        <v>74</v>
      </c>
      <c r="H258" s="20" t="s">
        <v>24</v>
      </c>
    </row>
    <row r="259" spans="1:8">
      <c r="A259" s="15" t="s">
        <v>945</v>
      </c>
      <c r="B259" s="16" t="s">
        <v>69</v>
      </c>
      <c r="C259" s="8" t="s">
        <v>952</v>
      </c>
      <c r="D259" s="17"/>
      <c r="E259" s="16" t="s">
        <v>11</v>
      </c>
      <c r="F259" s="18">
        <v>48487.69</v>
      </c>
      <c r="G259" s="20" t="s">
        <v>953</v>
      </c>
      <c r="H259" s="20" t="s">
        <v>81</v>
      </c>
    </row>
    <row r="260" spans="1:8">
      <c r="A260" s="15" t="s">
        <v>945</v>
      </c>
      <c r="B260" s="16" t="s">
        <v>69</v>
      </c>
      <c r="C260" s="8" t="s">
        <v>1002</v>
      </c>
      <c r="D260" s="17"/>
      <c r="E260" s="16" t="s">
        <v>11</v>
      </c>
      <c r="F260" s="18">
        <v>49121.37</v>
      </c>
      <c r="G260" s="20" t="s">
        <v>718</v>
      </c>
      <c r="H260" s="20" t="s">
        <v>24</v>
      </c>
    </row>
    <row r="261" spans="1:8">
      <c r="A261" s="16" t="s">
        <v>945</v>
      </c>
      <c r="B261" s="16" t="s">
        <v>69</v>
      </c>
      <c r="C261" s="8" t="s">
        <v>1124</v>
      </c>
      <c r="D261" s="17"/>
      <c r="E261" s="16" t="s">
        <v>11</v>
      </c>
      <c r="F261" s="18">
        <v>49578.56</v>
      </c>
      <c r="G261" s="20" t="s">
        <v>36</v>
      </c>
      <c r="H261" s="20" t="s">
        <v>24</v>
      </c>
    </row>
    <row r="262" ht="30" spans="1:8">
      <c r="A262" s="15" t="s">
        <v>945</v>
      </c>
      <c r="B262" s="16" t="s">
        <v>69</v>
      </c>
      <c r="C262" s="8" t="s">
        <v>1125</v>
      </c>
      <c r="D262" s="17"/>
      <c r="E262" s="16" t="s">
        <v>11</v>
      </c>
      <c r="F262" s="18">
        <v>49786.59</v>
      </c>
      <c r="G262" s="20" t="s">
        <v>46</v>
      </c>
      <c r="H262" s="20" t="s">
        <v>1058</v>
      </c>
    </row>
    <row r="263" spans="1:8">
      <c r="A263" s="15" t="s">
        <v>945</v>
      </c>
      <c r="B263" s="16" t="s">
        <v>69</v>
      </c>
      <c r="C263" s="8" t="s">
        <v>1101</v>
      </c>
      <c r="D263" s="17"/>
      <c r="E263" s="16" t="s">
        <v>11</v>
      </c>
      <c r="F263" s="18">
        <v>50239.91</v>
      </c>
      <c r="G263" s="20" t="s">
        <v>274</v>
      </c>
      <c r="H263" s="20" t="s">
        <v>47</v>
      </c>
    </row>
    <row r="264" spans="1:8">
      <c r="A264" s="15" t="s">
        <v>945</v>
      </c>
      <c r="B264" s="16" t="s">
        <v>69</v>
      </c>
      <c r="C264" s="8" t="s">
        <v>1126</v>
      </c>
      <c r="D264" s="17"/>
      <c r="E264" s="16" t="s">
        <v>11</v>
      </c>
      <c r="F264" s="18">
        <v>50487.98</v>
      </c>
      <c r="G264" s="20" t="s">
        <v>78</v>
      </c>
      <c r="H264" s="20" t="s">
        <v>24</v>
      </c>
    </row>
    <row r="265" spans="1:8">
      <c r="A265" s="16" t="s">
        <v>945</v>
      </c>
      <c r="B265" s="16" t="s">
        <v>69</v>
      </c>
      <c r="C265" s="8" t="s">
        <v>1127</v>
      </c>
      <c r="D265" s="17"/>
      <c r="E265" s="16" t="s">
        <v>11</v>
      </c>
      <c r="F265" s="18">
        <v>50748</v>
      </c>
      <c r="G265" s="20" t="s">
        <v>31</v>
      </c>
      <c r="H265" s="20" t="s">
        <v>24</v>
      </c>
    </row>
    <row r="266" spans="1:8">
      <c r="A266" s="15" t="s">
        <v>945</v>
      </c>
      <c r="B266" s="16" t="s">
        <v>69</v>
      </c>
      <c r="C266" s="8" t="s">
        <v>947</v>
      </c>
      <c r="D266" s="17"/>
      <c r="E266" s="16" t="s">
        <v>11</v>
      </c>
      <c r="F266" s="18">
        <v>51013.01</v>
      </c>
      <c r="G266" s="20" t="s">
        <v>948</v>
      </c>
      <c r="H266" s="20" t="s">
        <v>81</v>
      </c>
    </row>
    <row r="267" spans="1:8">
      <c r="A267" s="15" t="s">
        <v>945</v>
      </c>
      <c r="B267" s="16" t="s">
        <v>69</v>
      </c>
      <c r="C267" s="8" t="s">
        <v>1128</v>
      </c>
      <c r="D267" s="17"/>
      <c r="E267" s="16" t="s">
        <v>11</v>
      </c>
      <c r="F267" s="18">
        <v>51185.64</v>
      </c>
      <c r="G267" s="20" t="s">
        <v>356</v>
      </c>
      <c r="H267" s="20" t="s">
        <v>67</v>
      </c>
    </row>
    <row r="268" spans="1:8">
      <c r="A268" s="15" t="s">
        <v>945</v>
      </c>
      <c r="B268" s="16" t="s">
        <v>69</v>
      </c>
      <c r="C268" s="8" t="s">
        <v>1129</v>
      </c>
      <c r="D268" s="17"/>
      <c r="E268" s="16" t="s">
        <v>11</v>
      </c>
      <c r="F268" s="18">
        <v>51505.67</v>
      </c>
      <c r="G268" s="20" t="s">
        <v>179</v>
      </c>
      <c r="H268" s="20" t="s">
        <v>81</v>
      </c>
    </row>
    <row r="269" spans="1:8">
      <c r="A269" s="15" t="s">
        <v>945</v>
      </c>
      <c r="B269" s="16" t="s">
        <v>69</v>
      </c>
      <c r="C269" s="8" t="s">
        <v>949</v>
      </c>
      <c r="D269" s="17"/>
      <c r="E269" s="16" t="s">
        <v>11</v>
      </c>
      <c r="F269" s="18">
        <v>52215.74</v>
      </c>
      <c r="G269" s="20" t="s">
        <v>950</v>
      </c>
      <c r="H269" s="20" t="s">
        <v>81</v>
      </c>
    </row>
    <row r="270" spans="1:8">
      <c r="A270" s="15" t="s">
        <v>945</v>
      </c>
      <c r="B270" s="16" t="s">
        <v>69</v>
      </c>
      <c r="C270" s="8" t="s">
        <v>1130</v>
      </c>
      <c r="D270" s="17"/>
      <c r="E270" s="16" t="s">
        <v>11</v>
      </c>
      <c r="F270" s="18">
        <v>53030.8</v>
      </c>
      <c r="G270" s="20" t="s">
        <v>36</v>
      </c>
      <c r="H270" s="20" t="s">
        <v>36</v>
      </c>
    </row>
    <row r="271" spans="1:8">
      <c r="A271" s="15" t="s">
        <v>945</v>
      </c>
      <c r="B271" s="16" t="s">
        <v>69</v>
      </c>
      <c r="C271" s="8" t="s">
        <v>1039</v>
      </c>
      <c r="D271" s="17"/>
      <c r="E271" s="16" t="s">
        <v>11</v>
      </c>
      <c r="F271" s="18">
        <v>53076.1</v>
      </c>
      <c r="G271" s="20" t="s">
        <v>105</v>
      </c>
      <c r="H271" s="20" t="s">
        <v>81</v>
      </c>
    </row>
    <row r="272" spans="1:8">
      <c r="A272" s="15" t="s">
        <v>945</v>
      </c>
      <c r="B272" s="16" t="s">
        <v>69</v>
      </c>
      <c r="C272" s="16" t="s">
        <v>1131</v>
      </c>
      <c r="D272" s="17"/>
      <c r="E272" s="16" t="s">
        <v>11</v>
      </c>
      <c r="F272" s="18">
        <v>53261.32</v>
      </c>
      <c r="G272" s="20" t="s">
        <v>66</v>
      </c>
      <c r="H272" s="20" t="s">
        <v>67</v>
      </c>
    </row>
    <row r="273" spans="1:8">
      <c r="A273" s="15" t="s">
        <v>945</v>
      </c>
      <c r="B273" s="16" t="s">
        <v>69</v>
      </c>
      <c r="C273" s="8" t="s">
        <v>1132</v>
      </c>
      <c r="D273" s="17"/>
      <c r="E273" s="16" t="s">
        <v>11</v>
      </c>
      <c r="F273" s="18">
        <v>53264.93</v>
      </c>
      <c r="G273" s="20" t="s">
        <v>1009</v>
      </c>
      <c r="H273" s="20" t="s">
        <v>67</v>
      </c>
    </row>
    <row r="274" spans="1:8">
      <c r="A274" s="15" t="s">
        <v>945</v>
      </c>
      <c r="B274" s="16" t="s">
        <v>69</v>
      </c>
      <c r="C274" s="8" t="s">
        <v>1007</v>
      </c>
      <c r="D274" s="17"/>
      <c r="E274" s="16" t="s">
        <v>11</v>
      </c>
      <c r="F274" s="18">
        <v>53319.63</v>
      </c>
      <c r="G274" s="19" t="s">
        <v>46</v>
      </c>
      <c r="H274" s="19" t="s">
        <v>47</v>
      </c>
    </row>
    <row r="275" spans="1:8">
      <c r="A275" s="15" t="s">
        <v>945</v>
      </c>
      <c r="B275" s="16" t="s">
        <v>69</v>
      </c>
      <c r="C275" s="8" t="s">
        <v>1133</v>
      </c>
      <c r="D275" s="17"/>
      <c r="E275" s="16" t="s">
        <v>11</v>
      </c>
      <c r="F275" s="18">
        <v>53428</v>
      </c>
      <c r="G275" s="20" t="s">
        <v>636</v>
      </c>
      <c r="H275" s="20" t="s">
        <v>24</v>
      </c>
    </row>
    <row r="276" spans="1:8">
      <c r="A276" s="15" t="s">
        <v>945</v>
      </c>
      <c r="B276" s="16" t="s">
        <v>69</v>
      </c>
      <c r="C276" s="8" t="s">
        <v>1134</v>
      </c>
      <c r="D276" s="17"/>
      <c r="E276" s="16" t="s">
        <v>11</v>
      </c>
      <c r="F276" s="18">
        <v>53654.21</v>
      </c>
      <c r="G276" s="20" t="s">
        <v>66</v>
      </c>
      <c r="H276" s="20" t="s">
        <v>67</v>
      </c>
    </row>
    <row r="277" spans="1:8">
      <c r="A277" s="15" t="s">
        <v>945</v>
      </c>
      <c r="B277" s="16" t="s">
        <v>69</v>
      </c>
      <c r="C277" s="8" t="s">
        <v>1135</v>
      </c>
      <c r="D277" s="17"/>
      <c r="E277" s="16" t="s">
        <v>11</v>
      </c>
      <c r="F277" s="18">
        <v>53995.35</v>
      </c>
      <c r="G277" s="20" t="s">
        <v>718</v>
      </c>
      <c r="H277" s="20" t="s">
        <v>24</v>
      </c>
    </row>
    <row r="278" spans="1:8">
      <c r="A278" s="15" t="s">
        <v>945</v>
      </c>
      <c r="B278" s="16" t="s">
        <v>69</v>
      </c>
      <c r="C278" s="8" t="s">
        <v>1101</v>
      </c>
      <c r="D278" s="17"/>
      <c r="E278" s="16" t="s">
        <v>11</v>
      </c>
      <c r="F278" s="18">
        <v>54859.77</v>
      </c>
      <c r="G278" s="20" t="s">
        <v>274</v>
      </c>
      <c r="H278" s="20" t="s">
        <v>47</v>
      </c>
    </row>
    <row r="279" spans="1:8">
      <c r="A279" s="15" t="s">
        <v>945</v>
      </c>
      <c r="B279" s="16" t="s">
        <v>69</v>
      </c>
      <c r="C279" s="8" t="s">
        <v>973</v>
      </c>
      <c r="D279" s="17"/>
      <c r="E279" s="16" t="s">
        <v>11</v>
      </c>
      <c r="F279" s="18">
        <v>54956.58</v>
      </c>
      <c r="G279" s="20" t="s">
        <v>27</v>
      </c>
      <c r="H279" s="20" t="s">
        <v>28</v>
      </c>
    </row>
    <row r="280" spans="1:8">
      <c r="A280" s="15" t="s">
        <v>945</v>
      </c>
      <c r="B280" s="16" t="s">
        <v>69</v>
      </c>
      <c r="C280" s="8" t="s">
        <v>1122</v>
      </c>
      <c r="D280" s="17"/>
      <c r="E280" s="16" t="s">
        <v>11</v>
      </c>
      <c r="F280" s="18">
        <v>55174.02</v>
      </c>
      <c r="G280" s="20" t="s">
        <v>616</v>
      </c>
      <c r="H280" s="20" t="s">
        <v>67</v>
      </c>
    </row>
    <row r="281" spans="1:8">
      <c r="A281" s="16" t="s">
        <v>945</v>
      </c>
      <c r="B281" s="16" t="s">
        <v>69</v>
      </c>
      <c r="C281" s="8" t="s">
        <v>1136</v>
      </c>
      <c r="D281" s="17"/>
      <c r="E281" s="16" t="s">
        <v>11</v>
      </c>
      <c r="F281" s="18">
        <v>55919.66</v>
      </c>
      <c r="G281" s="20" t="s">
        <v>609</v>
      </c>
      <c r="H281" s="20" t="s">
        <v>81</v>
      </c>
    </row>
    <row r="282" spans="1:8">
      <c r="A282" s="15" t="s">
        <v>945</v>
      </c>
      <c r="B282" s="16" t="s">
        <v>69</v>
      </c>
      <c r="C282" s="8" t="s">
        <v>1043</v>
      </c>
      <c r="D282" s="17"/>
      <c r="E282" s="16" t="s">
        <v>11</v>
      </c>
      <c r="F282" s="18">
        <v>56126.07</v>
      </c>
      <c r="G282" s="20" t="s">
        <v>232</v>
      </c>
      <c r="H282" s="20" t="s">
        <v>24</v>
      </c>
    </row>
    <row r="283" spans="1:8">
      <c r="A283" s="16" t="s">
        <v>945</v>
      </c>
      <c r="B283" s="16" t="s">
        <v>69</v>
      </c>
      <c r="C283" s="8" t="s">
        <v>1137</v>
      </c>
      <c r="D283" s="17"/>
      <c r="E283" s="16" t="s">
        <v>11</v>
      </c>
      <c r="F283" s="18">
        <v>56147.82</v>
      </c>
      <c r="G283" s="20" t="s">
        <v>1027</v>
      </c>
      <c r="H283" s="20" t="s">
        <v>24</v>
      </c>
    </row>
    <row r="284" spans="1:8">
      <c r="A284" s="16" t="s">
        <v>945</v>
      </c>
      <c r="B284" s="16" t="s">
        <v>69</v>
      </c>
      <c r="C284" s="8" t="s">
        <v>1051</v>
      </c>
      <c r="D284" s="17"/>
      <c r="E284" s="16" t="s">
        <v>11</v>
      </c>
      <c r="F284" s="18">
        <v>56481.55</v>
      </c>
      <c r="G284" s="20" t="s">
        <v>1052</v>
      </c>
      <c r="H284" s="20" t="s">
        <v>67</v>
      </c>
    </row>
    <row r="285" spans="1:8">
      <c r="A285" s="15" t="s">
        <v>945</v>
      </c>
      <c r="B285" s="16" t="s">
        <v>69</v>
      </c>
      <c r="C285" s="8" t="s">
        <v>1073</v>
      </c>
      <c r="D285" s="17"/>
      <c r="E285" s="16" t="s">
        <v>11</v>
      </c>
      <c r="F285" s="18">
        <v>56815.28</v>
      </c>
      <c r="G285" s="19" t="s">
        <v>972</v>
      </c>
      <c r="H285" s="19" t="s">
        <v>24</v>
      </c>
    </row>
    <row r="286" spans="1:8">
      <c r="A286" s="16" t="s">
        <v>945</v>
      </c>
      <c r="B286" s="16" t="s">
        <v>69</v>
      </c>
      <c r="C286" s="8" t="s">
        <v>1138</v>
      </c>
      <c r="D286" s="17"/>
      <c r="E286" s="16" t="s">
        <v>11</v>
      </c>
      <c r="F286" s="18">
        <v>57255.33</v>
      </c>
      <c r="G286" s="20" t="s">
        <v>23</v>
      </c>
      <c r="H286" s="20" t="s">
        <v>24</v>
      </c>
    </row>
    <row r="287" spans="1:8">
      <c r="A287" s="15" t="s">
        <v>945</v>
      </c>
      <c r="B287" s="16" t="s">
        <v>69</v>
      </c>
      <c r="C287" s="8" t="s">
        <v>1102</v>
      </c>
      <c r="D287" s="17"/>
      <c r="E287" s="16" t="s">
        <v>11</v>
      </c>
      <c r="F287" s="18">
        <v>57931.86</v>
      </c>
      <c r="G287" s="20" t="s">
        <v>66</v>
      </c>
      <c r="H287" s="20" t="s">
        <v>67</v>
      </c>
    </row>
    <row r="288" spans="1:8">
      <c r="A288" s="15" t="s">
        <v>945</v>
      </c>
      <c r="B288" s="16" t="s">
        <v>69</v>
      </c>
      <c r="C288" s="8" t="s">
        <v>959</v>
      </c>
      <c r="D288" s="17"/>
      <c r="E288" s="16" t="s">
        <v>11</v>
      </c>
      <c r="F288" s="18">
        <v>58261.43</v>
      </c>
      <c r="G288" s="20" t="s">
        <v>43</v>
      </c>
      <c r="H288" s="20" t="s">
        <v>24</v>
      </c>
    </row>
    <row r="289" spans="1:8">
      <c r="A289" s="15" t="s">
        <v>945</v>
      </c>
      <c r="B289" s="16" t="s">
        <v>69</v>
      </c>
      <c r="C289" s="8" t="s">
        <v>1139</v>
      </c>
      <c r="D289" s="17"/>
      <c r="E289" s="16" t="s">
        <v>11</v>
      </c>
      <c r="F289" s="18">
        <v>58328.18</v>
      </c>
      <c r="G289" s="20" t="s">
        <v>194</v>
      </c>
      <c r="H289" s="20" t="s">
        <v>81</v>
      </c>
    </row>
    <row r="290" spans="1:8">
      <c r="A290" s="15" t="s">
        <v>945</v>
      </c>
      <c r="B290" s="16" t="s">
        <v>69</v>
      </c>
      <c r="C290" s="8" t="s">
        <v>1111</v>
      </c>
      <c r="D290" s="17"/>
      <c r="E290" s="16" t="s">
        <v>11</v>
      </c>
      <c r="F290" s="18">
        <v>59318.1</v>
      </c>
      <c r="G290" s="20" t="s">
        <v>962</v>
      </c>
      <c r="H290" s="20" t="s">
        <v>47</v>
      </c>
    </row>
    <row r="291" spans="1:8">
      <c r="A291" s="16" t="s">
        <v>945</v>
      </c>
      <c r="B291" s="16" t="s">
        <v>69</v>
      </c>
      <c r="C291" s="16" t="s">
        <v>1015</v>
      </c>
      <c r="D291" s="17"/>
      <c r="E291" s="16" t="s">
        <v>11</v>
      </c>
      <c r="F291" s="18">
        <v>59497.33</v>
      </c>
      <c r="G291" s="20" t="s">
        <v>74</v>
      </c>
      <c r="H291" s="20" t="s">
        <v>24</v>
      </c>
    </row>
    <row r="292" spans="1:8">
      <c r="A292" s="15" t="s">
        <v>945</v>
      </c>
      <c r="B292" s="16" t="s">
        <v>69</v>
      </c>
      <c r="C292" s="8" t="s">
        <v>1140</v>
      </c>
      <c r="D292" s="17"/>
      <c r="E292" s="16" t="s">
        <v>11</v>
      </c>
      <c r="F292" s="18">
        <v>59833.85</v>
      </c>
      <c r="G292" s="20" t="s">
        <v>1141</v>
      </c>
      <c r="H292" s="20" t="s">
        <v>47</v>
      </c>
    </row>
    <row r="293" spans="1:8">
      <c r="A293" s="15" t="s">
        <v>945</v>
      </c>
      <c r="B293" s="16" t="s">
        <v>69</v>
      </c>
      <c r="C293" s="8" t="s">
        <v>1102</v>
      </c>
      <c r="D293" s="17"/>
      <c r="E293" s="16" t="s">
        <v>11</v>
      </c>
      <c r="F293" s="18">
        <v>60078.58</v>
      </c>
      <c r="G293" s="20" t="s">
        <v>66</v>
      </c>
      <c r="H293" s="20" t="s">
        <v>67</v>
      </c>
    </row>
    <row r="294" spans="1:8">
      <c r="A294" s="15" t="s">
        <v>945</v>
      </c>
      <c r="B294" s="16" t="s">
        <v>69</v>
      </c>
      <c r="C294" s="8" t="s">
        <v>1075</v>
      </c>
      <c r="D294" s="17"/>
      <c r="E294" s="16" t="s">
        <v>11</v>
      </c>
      <c r="F294" s="18">
        <v>60101.25</v>
      </c>
      <c r="G294" s="20" t="s">
        <v>957</v>
      </c>
      <c r="H294" s="20" t="s">
        <v>137</v>
      </c>
    </row>
    <row r="295" spans="1:8">
      <c r="A295" s="15" t="s">
        <v>945</v>
      </c>
      <c r="B295" s="16" t="s">
        <v>69</v>
      </c>
      <c r="C295" s="8" t="s">
        <v>1007</v>
      </c>
      <c r="D295" s="17"/>
      <c r="E295" s="16" t="s">
        <v>11</v>
      </c>
      <c r="F295" s="18">
        <v>60237.48</v>
      </c>
      <c r="G295" s="19" t="s">
        <v>46</v>
      </c>
      <c r="H295" s="19" t="s">
        <v>47</v>
      </c>
    </row>
    <row r="296" spans="1:8">
      <c r="A296" s="15" t="s">
        <v>945</v>
      </c>
      <c r="B296" s="16" t="s">
        <v>69</v>
      </c>
      <c r="C296" s="8" t="s">
        <v>1039</v>
      </c>
      <c r="D296" s="17"/>
      <c r="E296" s="16" t="s">
        <v>11</v>
      </c>
      <c r="F296" s="18">
        <v>60281.47</v>
      </c>
      <c r="G296" s="20" t="s">
        <v>105</v>
      </c>
      <c r="H296" s="20" t="s">
        <v>81</v>
      </c>
    </row>
    <row r="297" spans="1:8">
      <c r="A297" s="16" t="s">
        <v>945</v>
      </c>
      <c r="B297" s="16" t="s">
        <v>69</v>
      </c>
      <c r="C297" s="8" t="s">
        <v>1033</v>
      </c>
      <c r="D297" s="17"/>
      <c r="E297" s="16" t="s">
        <v>11</v>
      </c>
      <c r="F297" s="18">
        <v>61688.49</v>
      </c>
      <c r="G297" s="20" t="s">
        <v>235</v>
      </c>
      <c r="H297" s="20" t="s">
        <v>67</v>
      </c>
    </row>
    <row r="298" spans="1:8">
      <c r="A298" s="16" t="s">
        <v>945</v>
      </c>
      <c r="B298" s="16" t="s">
        <v>69</v>
      </c>
      <c r="C298" s="8" t="s">
        <v>1142</v>
      </c>
      <c r="D298" s="17"/>
      <c r="E298" s="16" t="s">
        <v>11</v>
      </c>
      <c r="F298" s="18">
        <v>62152.65</v>
      </c>
      <c r="G298" s="20" t="s">
        <v>1143</v>
      </c>
      <c r="H298" s="20" t="s">
        <v>47</v>
      </c>
    </row>
    <row r="299" spans="1:8">
      <c r="A299" s="15" t="s">
        <v>945</v>
      </c>
      <c r="B299" s="16" t="s">
        <v>69</v>
      </c>
      <c r="C299" s="8" t="s">
        <v>981</v>
      </c>
      <c r="D299" s="17"/>
      <c r="E299" s="16" t="s">
        <v>11</v>
      </c>
      <c r="F299" s="18">
        <v>62317.77</v>
      </c>
      <c r="G299" s="20" t="s">
        <v>74</v>
      </c>
      <c r="H299" s="20" t="s">
        <v>24</v>
      </c>
    </row>
    <row r="300" spans="1:8">
      <c r="A300" s="15" t="s">
        <v>945</v>
      </c>
      <c r="B300" s="16" t="s">
        <v>69</v>
      </c>
      <c r="C300" s="8" t="s">
        <v>1061</v>
      </c>
      <c r="D300" s="17"/>
      <c r="E300" s="16" t="s">
        <v>11</v>
      </c>
      <c r="F300" s="18">
        <v>62986.6</v>
      </c>
      <c r="G300" s="20" t="s">
        <v>74</v>
      </c>
      <c r="H300" s="20" t="s">
        <v>24</v>
      </c>
    </row>
    <row r="301" spans="1:8">
      <c r="A301" s="15" t="s">
        <v>945</v>
      </c>
      <c r="B301" s="16" t="s">
        <v>69</v>
      </c>
      <c r="C301" s="8" t="s">
        <v>1144</v>
      </c>
      <c r="D301" s="17"/>
      <c r="E301" s="16" t="s">
        <v>11</v>
      </c>
      <c r="F301" s="18">
        <v>63050.62</v>
      </c>
      <c r="G301" s="20" t="s">
        <v>1095</v>
      </c>
      <c r="H301" s="20" t="s">
        <v>47</v>
      </c>
    </row>
    <row r="302" spans="1:8">
      <c r="A302" s="16" t="s">
        <v>945</v>
      </c>
      <c r="B302" s="16" t="s">
        <v>69</v>
      </c>
      <c r="C302" s="8" t="s">
        <v>1145</v>
      </c>
      <c r="D302" s="17"/>
      <c r="E302" s="16" t="s">
        <v>11</v>
      </c>
      <c r="F302" s="18">
        <v>63252.29</v>
      </c>
      <c r="G302" s="20" t="s">
        <v>277</v>
      </c>
      <c r="H302" s="20" t="s">
        <v>24</v>
      </c>
    </row>
    <row r="303" spans="1:8">
      <c r="A303" s="16" t="s">
        <v>945</v>
      </c>
      <c r="B303" s="16" t="s">
        <v>69</v>
      </c>
      <c r="C303" s="8" t="s">
        <v>971</v>
      </c>
      <c r="D303" s="17"/>
      <c r="E303" s="16" t="s">
        <v>11</v>
      </c>
      <c r="F303" s="18">
        <v>63502.02</v>
      </c>
      <c r="G303" s="20" t="s">
        <v>972</v>
      </c>
      <c r="H303" s="20" t="s">
        <v>24</v>
      </c>
    </row>
    <row r="304" spans="1:8">
      <c r="A304" s="15" t="s">
        <v>945</v>
      </c>
      <c r="B304" s="16" t="s">
        <v>69</v>
      </c>
      <c r="C304" s="8" t="s">
        <v>1102</v>
      </c>
      <c r="D304" s="17"/>
      <c r="E304" s="16" t="s">
        <v>11</v>
      </c>
      <c r="F304" s="18">
        <v>63518.8</v>
      </c>
      <c r="G304" s="20" t="s">
        <v>66</v>
      </c>
      <c r="H304" s="20" t="s">
        <v>67</v>
      </c>
    </row>
    <row r="305" spans="1:8">
      <c r="A305" s="15" t="s">
        <v>945</v>
      </c>
      <c r="B305" s="16" t="s">
        <v>69</v>
      </c>
      <c r="C305" s="8" t="s">
        <v>1146</v>
      </c>
      <c r="D305" s="17"/>
      <c r="E305" s="16" t="s">
        <v>11</v>
      </c>
      <c r="F305" s="18">
        <v>63800</v>
      </c>
      <c r="G305" s="20" t="s">
        <v>36</v>
      </c>
      <c r="H305" s="20" t="s">
        <v>36</v>
      </c>
    </row>
    <row r="306" spans="1:8">
      <c r="A306" s="15" t="s">
        <v>945</v>
      </c>
      <c r="B306" s="16" t="s">
        <v>69</v>
      </c>
      <c r="C306" s="8" t="s">
        <v>1130</v>
      </c>
      <c r="D306" s="17"/>
      <c r="E306" s="16" t="s">
        <v>11</v>
      </c>
      <c r="F306" s="18">
        <v>64147.8</v>
      </c>
      <c r="G306" s="20" t="s">
        <v>36</v>
      </c>
      <c r="H306" s="20" t="s">
        <v>36</v>
      </c>
    </row>
    <row r="307" spans="1:8">
      <c r="A307" s="16" t="s">
        <v>945</v>
      </c>
      <c r="B307" s="16" t="s">
        <v>69</v>
      </c>
      <c r="C307" s="8" t="s">
        <v>1147</v>
      </c>
      <c r="D307" s="17"/>
      <c r="E307" s="16" t="s">
        <v>11</v>
      </c>
      <c r="F307" s="18">
        <v>65036.98</v>
      </c>
      <c r="G307" s="19" t="s">
        <v>277</v>
      </c>
      <c r="H307" s="19" t="s">
        <v>24</v>
      </c>
    </row>
    <row r="308" spans="1:8">
      <c r="A308" s="15" t="s">
        <v>945</v>
      </c>
      <c r="B308" s="16" t="s">
        <v>69</v>
      </c>
      <c r="C308" s="8" t="s">
        <v>1139</v>
      </c>
      <c r="D308" s="17"/>
      <c r="E308" s="16" t="s">
        <v>11</v>
      </c>
      <c r="F308" s="18">
        <v>65134.65</v>
      </c>
      <c r="G308" s="20" t="s">
        <v>194</v>
      </c>
      <c r="H308" s="20" t="s">
        <v>81</v>
      </c>
    </row>
    <row r="309" spans="1:8">
      <c r="A309" s="16" t="s">
        <v>945</v>
      </c>
      <c r="B309" s="16" t="s">
        <v>69</v>
      </c>
      <c r="C309" s="16" t="s">
        <v>978</v>
      </c>
      <c r="D309" s="17"/>
      <c r="E309" s="16" t="s">
        <v>11</v>
      </c>
      <c r="F309" s="18">
        <v>65198.1</v>
      </c>
      <c r="G309" s="20" t="s">
        <v>586</v>
      </c>
      <c r="H309" s="20" t="s">
        <v>81</v>
      </c>
    </row>
    <row r="310" spans="1:8">
      <c r="A310" s="15" t="s">
        <v>945</v>
      </c>
      <c r="B310" s="16" t="s">
        <v>69</v>
      </c>
      <c r="C310" s="8" t="s">
        <v>947</v>
      </c>
      <c r="D310" s="17"/>
      <c r="E310" s="16" t="s">
        <v>11</v>
      </c>
      <c r="F310" s="18">
        <v>65573.85</v>
      </c>
      <c r="G310" s="20" t="s">
        <v>948</v>
      </c>
      <c r="H310" s="20" t="s">
        <v>81</v>
      </c>
    </row>
    <row r="311" spans="1:8">
      <c r="A311" s="15" t="s">
        <v>945</v>
      </c>
      <c r="B311" s="16" t="s">
        <v>69</v>
      </c>
      <c r="C311" s="8" t="s">
        <v>955</v>
      </c>
      <c r="D311" s="17"/>
      <c r="E311" s="16" t="s">
        <v>11</v>
      </c>
      <c r="F311" s="18">
        <v>65727.44</v>
      </c>
      <c r="G311" s="20" t="s">
        <v>179</v>
      </c>
      <c r="H311" s="20" t="s">
        <v>81</v>
      </c>
    </row>
    <row r="312" spans="1:8">
      <c r="A312" s="15" t="s">
        <v>945</v>
      </c>
      <c r="B312" s="16" t="s">
        <v>69</v>
      </c>
      <c r="C312" s="8" t="s">
        <v>1050</v>
      </c>
      <c r="D312" s="17"/>
      <c r="E312" s="16" t="s">
        <v>11</v>
      </c>
      <c r="F312" s="18">
        <v>66644.07</v>
      </c>
      <c r="G312" s="20" t="s">
        <v>609</v>
      </c>
      <c r="H312" s="20" t="s">
        <v>81</v>
      </c>
    </row>
    <row r="313" spans="1:8">
      <c r="A313" s="15" t="s">
        <v>945</v>
      </c>
      <c r="B313" s="16" t="s">
        <v>69</v>
      </c>
      <c r="C313" s="8" t="s">
        <v>1048</v>
      </c>
      <c r="D313" s="17"/>
      <c r="E313" s="16" t="s">
        <v>11</v>
      </c>
      <c r="F313" s="18">
        <v>66800.98</v>
      </c>
      <c r="G313" s="20" t="s">
        <v>143</v>
      </c>
      <c r="H313" s="20" t="s">
        <v>67</v>
      </c>
    </row>
    <row r="314" spans="1:8">
      <c r="A314" s="15" t="s">
        <v>945</v>
      </c>
      <c r="B314" s="16" t="s">
        <v>69</v>
      </c>
      <c r="C314" s="8" t="s">
        <v>1022</v>
      </c>
      <c r="D314" s="17"/>
      <c r="E314" s="16" t="s">
        <v>11</v>
      </c>
      <c r="F314" s="18">
        <v>67007.68</v>
      </c>
      <c r="G314" s="20" t="s">
        <v>179</v>
      </c>
      <c r="H314" s="20" t="s">
        <v>81</v>
      </c>
    </row>
    <row r="315" spans="1:8">
      <c r="A315" s="15" t="s">
        <v>945</v>
      </c>
      <c r="B315" s="16" t="s">
        <v>69</v>
      </c>
      <c r="C315" s="8" t="s">
        <v>1148</v>
      </c>
      <c r="D315" s="17"/>
      <c r="E315" s="16" t="s">
        <v>11</v>
      </c>
      <c r="F315" s="18">
        <v>67866.84</v>
      </c>
      <c r="G315" s="20" t="s">
        <v>226</v>
      </c>
      <c r="H315" s="20" t="s">
        <v>1056</v>
      </c>
    </row>
    <row r="316" spans="1:8">
      <c r="A316" s="16" t="s">
        <v>945</v>
      </c>
      <c r="B316" s="16" t="s">
        <v>69</v>
      </c>
      <c r="C316" s="8" t="s">
        <v>1033</v>
      </c>
      <c r="D316" s="17"/>
      <c r="E316" s="16" t="s">
        <v>11</v>
      </c>
      <c r="F316" s="18">
        <v>68468.36</v>
      </c>
      <c r="G316" s="20" t="s">
        <v>235</v>
      </c>
      <c r="H316" s="20" t="s">
        <v>67</v>
      </c>
    </row>
    <row r="317" spans="1:8">
      <c r="A317" s="16" t="s">
        <v>945</v>
      </c>
      <c r="B317" s="16" t="s">
        <v>69</v>
      </c>
      <c r="C317" s="16" t="s">
        <v>1046</v>
      </c>
      <c r="D317" s="17"/>
      <c r="E317" s="16" t="s">
        <v>11</v>
      </c>
      <c r="F317" s="18">
        <v>68469.18</v>
      </c>
      <c r="G317" s="19" t="s">
        <v>36</v>
      </c>
      <c r="H317" s="19" t="s">
        <v>47</v>
      </c>
    </row>
    <row r="318" spans="1:8">
      <c r="A318" s="15" t="s">
        <v>945</v>
      </c>
      <c r="B318" s="16" t="s">
        <v>69</v>
      </c>
      <c r="C318" s="8" t="s">
        <v>1112</v>
      </c>
      <c r="D318" s="17"/>
      <c r="E318" s="16" t="s">
        <v>11</v>
      </c>
      <c r="F318" s="18">
        <v>68663.27</v>
      </c>
      <c r="G318" s="20" t="s">
        <v>474</v>
      </c>
      <c r="H318" s="20" t="s">
        <v>28</v>
      </c>
    </row>
    <row r="319" spans="1:8">
      <c r="A319" s="15" t="s">
        <v>945</v>
      </c>
      <c r="B319" s="16" t="s">
        <v>69</v>
      </c>
      <c r="C319" s="8" t="s">
        <v>959</v>
      </c>
      <c r="D319" s="17"/>
      <c r="E319" s="16" t="s">
        <v>11</v>
      </c>
      <c r="F319" s="18">
        <v>69105.6</v>
      </c>
      <c r="G319" s="20" t="s">
        <v>43</v>
      </c>
      <c r="H319" s="20" t="s">
        <v>24</v>
      </c>
    </row>
    <row r="320" spans="1:8">
      <c r="A320" s="16" t="s">
        <v>945</v>
      </c>
      <c r="B320" s="16" t="s">
        <v>69</v>
      </c>
      <c r="C320" s="16" t="s">
        <v>978</v>
      </c>
      <c r="D320" s="17"/>
      <c r="E320" s="16" t="s">
        <v>11</v>
      </c>
      <c r="F320" s="18">
        <v>69262.48</v>
      </c>
      <c r="G320" s="20" t="s">
        <v>586</v>
      </c>
      <c r="H320" s="20" t="s">
        <v>81</v>
      </c>
    </row>
    <row r="321" spans="1:8">
      <c r="A321" s="15" t="s">
        <v>945</v>
      </c>
      <c r="B321" s="16" t="s">
        <v>69</v>
      </c>
      <c r="C321" s="8" t="s">
        <v>1047</v>
      </c>
      <c r="D321" s="17"/>
      <c r="E321" s="16" t="s">
        <v>11</v>
      </c>
      <c r="F321" s="18">
        <v>69721.91</v>
      </c>
      <c r="G321" s="19" t="s">
        <v>993</v>
      </c>
      <c r="H321" s="19" t="s">
        <v>47</v>
      </c>
    </row>
    <row r="322" spans="1:8">
      <c r="A322" s="15" t="s">
        <v>945</v>
      </c>
      <c r="B322" s="16" t="s">
        <v>69</v>
      </c>
      <c r="C322" s="8" t="s">
        <v>965</v>
      </c>
      <c r="D322" s="17"/>
      <c r="E322" s="16" t="s">
        <v>11</v>
      </c>
      <c r="F322" s="18">
        <v>70594</v>
      </c>
      <c r="G322" s="20" t="s">
        <v>966</v>
      </c>
      <c r="H322" s="20" t="s">
        <v>81</v>
      </c>
    </row>
    <row r="323" spans="1:8">
      <c r="A323" s="15" t="s">
        <v>945</v>
      </c>
      <c r="B323" s="16" t="s">
        <v>69</v>
      </c>
      <c r="C323" s="8" t="s">
        <v>1073</v>
      </c>
      <c r="D323" s="17"/>
      <c r="E323" s="16" t="s">
        <v>11</v>
      </c>
      <c r="F323" s="18">
        <v>70628.59</v>
      </c>
      <c r="G323" s="20" t="s">
        <v>972</v>
      </c>
      <c r="H323" s="20" t="s">
        <v>24</v>
      </c>
    </row>
    <row r="324" spans="1:8">
      <c r="A324" s="16" t="s">
        <v>945</v>
      </c>
      <c r="B324" s="16" t="s">
        <v>69</v>
      </c>
      <c r="C324" s="8" t="s">
        <v>1149</v>
      </c>
      <c r="D324" s="17"/>
      <c r="E324" s="16" t="s">
        <v>11</v>
      </c>
      <c r="F324" s="18">
        <v>70770.62</v>
      </c>
      <c r="G324" s="20" t="s">
        <v>1143</v>
      </c>
      <c r="H324" s="20" t="s">
        <v>47</v>
      </c>
    </row>
    <row r="325" spans="1:8">
      <c r="A325" s="15" t="s">
        <v>945</v>
      </c>
      <c r="B325" s="16" t="s">
        <v>69</v>
      </c>
      <c r="C325" s="8" t="s">
        <v>984</v>
      </c>
      <c r="D325" s="17"/>
      <c r="E325" s="16" t="s">
        <v>11</v>
      </c>
      <c r="F325" s="18">
        <v>70863.3</v>
      </c>
      <c r="G325" s="20" t="s">
        <v>636</v>
      </c>
      <c r="H325" s="20" t="s">
        <v>24</v>
      </c>
    </row>
    <row r="326" spans="1:8">
      <c r="A326" s="15" t="s">
        <v>945</v>
      </c>
      <c r="B326" s="16" t="s">
        <v>69</v>
      </c>
      <c r="C326" s="8" t="s">
        <v>1040</v>
      </c>
      <c r="D326" s="17"/>
      <c r="E326" s="16" t="s">
        <v>11</v>
      </c>
      <c r="F326" s="18">
        <v>70906.3</v>
      </c>
      <c r="G326" s="20" t="s">
        <v>277</v>
      </c>
      <c r="H326" s="20" t="s">
        <v>24</v>
      </c>
    </row>
    <row r="327" spans="1:8">
      <c r="A327" s="16" t="s">
        <v>945</v>
      </c>
      <c r="B327" s="16" t="s">
        <v>69</v>
      </c>
      <c r="C327" s="8" t="s">
        <v>1069</v>
      </c>
      <c r="D327" s="17"/>
      <c r="E327" s="16" t="s">
        <v>11</v>
      </c>
      <c r="F327" s="18">
        <v>71643.6</v>
      </c>
      <c r="G327" s="20" t="s">
        <v>1070</v>
      </c>
      <c r="H327" s="20" t="s">
        <v>1070</v>
      </c>
    </row>
    <row r="328" spans="1:8">
      <c r="A328" s="15" t="s">
        <v>945</v>
      </c>
      <c r="B328" s="16" t="s">
        <v>69</v>
      </c>
      <c r="C328" s="8" t="s">
        <v>1150</v>
      </c>
      <c r="D328" s="17"/>
      <c r="E328" s="16" t="s">
        <v>11</v>
      </c>
      <c r="F328" s="18">
        <v>72145.02</v>
      </c>
      <c r="G328" s="20" t="s">
        <v>356</v>
      </c>
      <c r="H328" s="20" t="s">
        <v>67</v>
      </c>
    </row>
    <row r="329" spans="1:8">
      <c r="A329" s="15" t="s">
        <v>945</v>
      </c>
      <c r="B329" s="16" t="s">
        <v>69</v>
      </c>
      <c r="C329" s="8" t="s">
        <v>1007</v>
      </c>
      <c r="D329" s="17"/>
      <c r="E329" s="16" t="s">
        <v>11</v>
      </c>
      <c r="F329" s="18">
        <v>72169.97</v>
      </c>
      <c r="G329" s="19" t="s">
        <v>46</v>
      </c>
      <c r="H329" s="19" t="s">
        <v>47</v>
      </c>
    </row>
    <row r="330" spans="1:8">
      <c r="A330" s="15" t="s">
        <v>945</v>
      </c>
      <c r="B330" s="16" t="s">
        <v>69</v>
      </c>
      <c r="C330" s="8" t="s">
        <v>1075</v>
      </c>
      <c r="D330" s="17"/>
      <c r="E330" s="16" t="s">
        <v>11</v>
      </c>
      <c r="F330" s="18">
        <v>72333.12</v>
      </c>
      <c r="G330" s="20" t="s">
        <v>957</v>
      </c>
      <c r="H330" s="20" t="s">
        <v>28</v>
      </c>
    </row>
    <row r="331" spans="1:8">
      <c r="A331" s="15" t="s">
        <v>945</v>
      </c>
      <c r="B331" s="16" t="s">
        <v>69</v>
      </c>
      <c r="C331" s="8" t="s">
        <v>1045</v>
      </c>
      <c r="D331" s="17"/>
      <c r="E331" s="16" t="s">
        <v>11</v>
      </c>
      <c r="F331" s="18">
        <v>73195.22</v>
      </c>
      <c r="G331" s="20" t="s">
        <v>609</v>
      </c>
      <c r="H331" s="20" t="s">
        <v>81</v>
      </c>
    </row>
    <row r="332" spans="1:8">
      <c r="A332" s="15" t="s">
        <v>945</v>
      </c>
      <c r="B332" s="16" t="s">
        <v>69</v>
      </c>
      <c r="C332" s="8" t="s">
        <v>1151</v>
      </c>
      <c r="D332" s="17"/>
      <c r="E332" s="16" t="s">
        <v>11</v>
      </c>
      <c r="F332" s="18">
        <v>73316.13</v>
      </c>
      <c r="G332" s="19" t="s">
        <v>1018</v>
      </c>
      <c r="H332" s="19" t="s">
        <v>67</v>
      </c>
    </row>
    <row r="333" spans="1:8">
      <c r="A333" s="16" t="s">
        <v>945</v>
      </c>
      <c r="B333" s="16" t="s">
        <v>69</v>
      </c>
      <c r="C333" s="8" t="s">
        <v>958</v>
      </c>
      <c r="D333" s="17"/>
      <c r="E333" s="16" t="s">
        <v>11</v>
      </c>
      <c r="F333" s="18">
        <v>74331.16</v>
      </c>
      <c r="G333" s="20" t="s">
        <v>462</v>
      </c>
      <c r="H333" s="20" t="s">
        <v>47</v>
      </c>
    </row>
    <row r="334" spans="1:8">
      <c r="A334" s="15" t="s">
        <v>945</v>
      </c>
      <c r="B334" s="16" t="s">
        <v>69</v>
      </c>
      <c r="C334" s="8" t="s">
        <v>1053</v>
      </c>
      <c r="D334" s="17"/>
      <c r="E334" s="16" t="s">
        <v>11</v>
      </c>
      <c r="F334" s="18">
        <v>74500</v>
      </c>
      <c r="G334" s="20" t="s">
        <v>1054</v>
      </c>
      <c r="H334" s="20" t="s">
        <v>47</v>
      </c>
    </row>
    <row r="335" spans="1:8">
      <c r="A335" s="16" t="s">
        <v>945</v>
      </c>
      <c r="B335" s="16" t="s">
        <v>69</v>
      </c>
      <c r="C335" s="8" t="s">
        <v>1152</v>
      </c>
      <c r="D335" s="17"/>
      <c r="E335" s="16" t="s">
        <v>11</v>
      </c>
      <c r="F335" s="18">
        <v>75466.9</v>
      </c>
      <c r="G335" s="20" t="s">
        <v>93</v>
      </c>
      <c r="H335" s="20" t="s">
        <v>67</v>
      </c>
    </row>
    <row r="336" spans="1:8">
      <c r="A336" s="15" t="s">
        <v>945</v>
      </c>
      <c r="B336" s="16" t="s">
        <v>69</v>
      </c>
      <c r="C336" s="8" t="s">
        <v>988</v>
      </c>
      <c r="D336" s="17"/>
      <c r="E336" s="16" t="s">
        <v>11</v>
      </c>
      <c r="F336" s="18">
        <v>75510.88</v>
      </c>
      <c r="G336" s="20" t="s">
        <v>201</v>
      </c>
      <c r="H336" s="20" t="s">
        <v>24</v>
      </c>
    </row>
    <row r="337" spans="1:8">
      <c r="A337" s="15" t="s">
        <v>945</v>
      </c>
      <c r="B337" s="16" t="s">
        <v>69</v>
      </c>
      <c r="C337" s="8" t="s">
        <v>1103</v>
      </c>
      <c r="D337" s="17"/>
      <c r="E337" s="16" t="s">
        <v>11</v>
      </c>
      <c r="F337" s="18">
        <v>75988.48</v>
      </c>
      <c r="G337" s="20" t="s">
        <v>201</v>
      </c>
      <c r="H337" s="20" t="s">
        <v>24</v>
      </c>
    </row>
    <row r="338" spans="1:8">
      <c r="A338" s="15" t="s">
        <v>945</v>
      </c>
      <c r="B338" s="16" t="s">
        <v>69</v>
      </c>
      <c r="C338" s="8" t="s">
        <v>1028</v>
      </c>
      <c r="D338" s="17"/>
      <c r="E338" s="16" t="s">
        <v>11</v>
      </c>
      <c r="F338" s="18">
        <v>76183.6</v>
      </c>
      <c r="G338" s="20" t="s">
        <v>1029</v>
      </c>
      <c r="H338" s="20" t="s">
        <v>24</v>
      </c>
    </row>
    <row r="339" spans="1:8">
      <c r="A339" s="15" t="s">
        <v>945</v>
      </c>
      <c r="B339" s="16" t="s">
        <v>69</v>
      </c>
      <c r="C339" s="8" t="s">
        <v>988</v>
      </c>
      <c r="D339" s="17"/>
      <c r="E339" s="16" t="s">
        <v>11</v>
      </c>
      <c r="F339" s="18">
        <v>76245.87</v>
      </c>
      <c r="G339" s="20" t="s">
        <v>201</v>
      </c>
      <c r="H339" s="20" t="s">
        <v>24</v>
      </c>
    </row>
    <row r="340" spans="1:8">
      <c r="A340" s="15" t="s">
        <v>945</v>
      </c>
      <c r="B340" s="16" t="s">
        <v>69</v>
      </c>
      <c r="C340" s="8" t="s">
        <v>1113</v>
      </c>
      <c r="D340" s="17"/>
      <c r="E340" s="16" t="s">
        <v>11</v>
      </c>
      <c r="F340" s="18">
        <v>76760.17</v>
      </c>
      <c r="G340" s="20" t="s">
        <v>586</v>
      </c>
      <c r="H340" s="20" t="s">
        <v>81</v>
      </c>
    </row>
    <row r="341" spans="1:8">
      <c r="A341" s="15" t="s">
        <v>945</v>
      </c>
      <c r="B341" s="16" t="s">
        <v>69</v>
      </c>
      <c r="C341" s="8" t="s">
        <v>947</v>
      </c>
      <c r="D341" s="17"/>
      <c r="E341" s="16" t="s">
        <v>11</v>
      </c>
      <c r="F341" s="18">
        <v>76835.99</v>
      </c>
      <c r="G341" s="20" t="s">
        <v>948</v>
      </c>
      <c r="H341" s="20" t="s">
        <v>81</v>
      </c>
    </row>
    <row r="342" spans="1:8">
      <c r="A342" s="15" t="s">
        <v>945</v>
      </c>
      <c r="B342" s="16" t="s">
        <v>69</v>
      </c>
      <c r="C342" s="8" t="s">
        <v>1000</v>
      </c>
      <c r="D342" s="17"/>
      <c r="E342" s="16" t="s">
        <v>11</v>
      </c>
      <c r="F342" s="18">
        <v>77506.25</v>
      </c>
      <c r="G342" s="20" t="s">
        <v>325</v>
      </c>
      <c r="H342" s="20" t="s">
        <v>81</v>
      </c>
    </row>
    <row r="343" spans="1:8">
      <c r="A343" s="15" t="s">
        <v>945</v>
      </c>
      <c r="B343" s="16" t="s">
        <v>69</v>
      </c>
      <c r="C343" s="8" t="s">
        <v>1153</v>
      </c>
      <c r="D343" s="17"/>
      <c r="E343" s="16" t="s">
        <v>11</v>
      </c>
      <c r="F343" s="18">
        <v>77591.38</v>
      </c>
      <c r="G343" s="20" t="s">
        <v>66</v>
      </c>
      <c r="H343" s="20" t="s">
        <v>24</v>
      </c>
    </row>
    <row r="344" spans="1:8">
      <c r="A344" s="15" t="s">
        <v>945</v>
      </c>
      <c r="B344" s="16" t="s">
        <v>69</v>
      </c>
      <c r="C344" s="8" t="s">
        <v>1037</v>
      </c>
      <c r="D344" s="17"/>
      <c r="E344" s="16" t="s">
        <v>11</v>
      </c>
      <c r="F344" s="18">
        <v>77644.92</v>
      </c>
      <c r="G344" s="19" t="s">
        <v>1038</v>
      </c>
      <c r="H344" s="19" t="s">
        <v>47</v>
      </c>
    </row>
    <row r="345" spans="1:8">
      <c r="A345" s="15" t="s">
        <v>945</v>
      </c>
      <c r="B345" s="16" t="s">
        <v>69</v>
      </c>
      <c r="C345" s="8" t="s">
        <v>987</v>
      </c>
      <c r="D345" s="17"/>
      <c r="E345" s="16" t="s">
        <v>11</v>
      </c>
      <c r="F345" s="18">
        <v>78056.12</v>
      </c>
      <c r="G345" s="20" t="s">
        <v>141</v>
      </c>
      <c r="H345" s="20" t="s">
        <v>47</v>
      </c>
    </row>
    <row r="346" spans="1:8">
      <c r="A346" s="15" t="s">
        <v>945</v>
      </c>
      <c r="B346" s="16" t="s">
        <v>69</v>
      </c>
      <c r="C346" s="8" t="s">
        <v>1154</v>
      </c>
      <c r="D346" s="17"/>
      <c r="E346" s="16" t="s">
        <v>11</v>
      </c>
      <c r="F346" s="18">
        <v>78532.22</v>
      </c>
      <c r="G346" s="20" t="s">
        <v>1064</v>
      </c>
      <c r="H346" s="20" t="s">
        <v>1056</v>
      </c>
    </row>
    <row r="347" spans="1:8">
      <c r="A347" s="16" t="s">
        <v>945</v>
      </c>
      <c r="B347" s="16" t="s">
        <v>69</v>
      </c>
      <c r="C347" s="8" t="s">
        <v>1155</v>
      </c>
      <c r="D347" s="17"/>
      <c r="E347" s="16" t="s">
        <v>11</v>
      </c>
      <c r="F347" s="18">
        <v>78532.22</v>
      </c>
      <c r="G347" s="20" t="s">
        <v>1082</v>
      </c>
      <c r="H347" s="20" t="s">
        <v>67</v>
      </c>
    </row>
    <row r="348" spans="1:8">
      <c r="A348" s="16" t="s">
        <v>945</v>
      </c>
      <c r="B348" s="16" t="s">
        <v>69</v>
      </c>
      <c r="C348" s="8" t="s">
        <v>1156</v>
      </c>
      <c r="D348" s="17"/>
      <c r="E348" s="16" t="s">
        <v>11</v>
      </c>
      <c r="F348" s="18">
        <v>78532.22</v>
      </c>
      <c r="G348" s="20" t="s">
        <v>210</v>
      </c>
      <c r="H348" s="20" t="s">
        <v>36</v>
      </c>
    </row>
    <row r="349" spans="1:8">
      <c r="A349" s="16" t="s">
        <v>945</v>
      </c>
      <c r="B349" s="16" t="s">
        <v>69</v>
      </c>
      <c r="C349" s="8" t="s">
        <v>1023</v>
      </c>
      <c r="D349" s="17"/>
      <c r="E349" s="16" t="s">
        <v>11</v>
      </c>
      <c r="F349" s="18">
        <v>81606.88</v>
      </c>
      <c r="G349" s="20" t="s">
        <v>1024</v>
      </c>
      <c r="H349" s="20" t="s">
        <v>67</v>
      </c>
    </row>
    <row r="350" spans="1:8">
      <c r="A350" s="16" t="s">
        <v>945</v>
      </c>
      <c r="B350" s="16" t="s">
        <v>69</v>
      </c>
      <c r="C350" s="8" t="s">
        <v>979</v>
      </c>
      <c r="D350" s="17"/>
      <c r="E350" s="16" t="s">
        <v>11</v>
      </c>
      <c r="F350" s="18">
        <v>81728.15</v>
      </c>
      <c r="G350" s="20" t="s">
        <v>336</v>
      </c>
      <c r="H350" s="20" t="s">
        <v>24</v>
      </c>
    </row>
    <row r="351" spans="1:8">
      <c r="A351" s="16" t="s">
        <v>945</v>
      </c>
      <c r="B351" s="16" t="s">
        <v>69</v>
      </c>
      <c r="C351" s="8" t="s">
        <v>1157</v>
      </c>
      <c r="D351" s="17"/>
      <c r="E351" s="16" t="s">
        <v>11</v>
      </c>
      <c r="F351" s="18">
        <v>82341.67</v>
      </c>
      <c r="G351" s="19" t="s">
        <v>1141</v>
      </c>
      <c r="H351" s="19" t="s">
        <v>47</v>
      </c>
    </row>
    <row r="352" spans="1:8">
      <c r="A352" s="15" t="s">
        <v>945</v>
      </c>
      <c r="B352" s="16" t="s">
        <v>69</v>
      </c>
      <c r="C352" s="8" t="s">
        <v>959</v>
      </c>
      <c r="D352" s="17"/>
      <c r="E352" s="16" t="s">
        <v>11</v>
      </c>
      <c r="F352" s="18">
        <v>85798.18</v>
      </c>
      <c r="G352" s="20" t="s">
        <v>43</v>
      </c>
      <c r="H352" s="20" t="s">
        <v>24</v>
      </c>
    </row>
    <row r="353" spans="1:8">
      <c r="A353" s="16" t="s">
        <v>945</v>
      </c>
      <c r="B353" s="16" t="s">
        <v>69</v>
      </c>
      <c r="C353" s="8" t="s">
        <v>1115</v>
      </c>
      <c r="D353" s="17"/>
      <c r="E353" s="16" t="s">
        <v>11</v>
      </c>
      <c r="F353" s="18">
        <v>86832.82</v>
      </c>
      <c r="G353" s="20" t="s">
        <v>462</v>
      </c>
      <c r="H353" s="20" t="s">
        <v>47</v>
      </c>
    </row>
    <row r="354" spans="1:8">
      <c r="A354" s="15" t="s">
        <v>945</v>
      </c>
      <c r="B354" s="16" t="s">
        <v>69</v>
      </c>
      <c r="C354" s="8" t="s">
        <v>1059</v>
      </c>
      <c r="D354" s="17"/>
      <c r="E354" s="16" t="s">
        <v>11</v>
      </c>
      <c r="F354" s="18">
        <v>88250</v>
      </c>
      <c r="G354" s="20" t="s">
        <v>36</v>
      </c>
      <c r="H354" s="20" t="s">
        <v>24</v>
      </c>
    </row>
    <row r="355" spans="1:8">
      <c r="A355" s="15" t="s">
        <v>945</v>
      </c>
      <c r="B355" s="16" t="s">
        <v>69</v>
      </c>
      <c r="C355" s="8" t="s">
        <v>1081</v>
      </c>
      <c r="D355" s="17"/>
      <c r="E355" s="16" t="s">
        <v>11</v>
      </c>
      <c r="F355" s="18">
        <v>88891.4</v>
      </c>
      <c r="G355" s="16" t="s">
        <v>1082</v>
      </c>
      <c r="H355" s="20" t="s">
        <v>67</v>
      </c>
    </row>
    <row r="356" spans="1:8">
      <c r="A356" s="15" t="s">
        <v>945</v>
      </c>
      <c r="B356" s="16" t="s">
        <v>69</v>
      </c>
      <c r="C356" s="8" t="s">
        <v>1045</v>
      </c>
      <c r="D356" s="17"/>
      <c r="E356" s="16" t="s">
        <v>11</v>
      </c>
      <c r="F356" s="18">
        <v>89101.65</v>
      </c>
      <c r="G356" s="20" t="s">
        <v>609</v>
      </c>
      <c r="H356" s="20" t="s">
        <v>81</v>
      </c>
    </row>
    <row r="357" spans="1:8">
      <c r="A357" s="15" t="s">
        <v>945</v>
      </c>
      <c r="B357" s="16" t="s">
        <v>69</v>
      </c>
      <c r="C357" s="8" t="s">
        <v>1037</v>
      </c>
      <c r="D357" s="17"/>
      <c r="E357" s="16" t="s">
        <v>11</v>
      </c>
      <c r="F357" s="18">
        <v>89739.84</v>
      </c>
      <c r="G357" s="19" t="s">
        <v>1038</v>
      </c>
      <c r="H357" s="19" t="s">
        <v>47</v>
      </c>
    </row>
    <row r="358" spans="1:8">
      <c r="A358" s="15" t="s">
        <v>945</v>
      </c>
      <c r="B358" s="16" t="s">
        <v>69</v>
      </c>
      <c r="C358" s="8" t="s">
        <v>1081</v>
      </c>
      <c r="D358" s="17"/>
      <c r="E358" s="16" t="s">
        <v>11</v>
      </c>
      <c r="F358" s="18">
        <v>90189.52</v>
      </c>
      <c r="G358" s="16" t="s">
        <v>1082</v>
      </c>
      <c r="H358" s="20" t="s">
        <v>67</v>
      </c>
    </row>
    <row r="359" spans="1:8">
      <c r="A359" s="15" t="s">
        <v>945</v>
      </c>
      <c r="B359" s="16" t="s">
        <v>69</v>
      </c>
      <c r="C359" s="8" t="s">
        <v>1158</v>
      </c>
      <c r="D359" s="17"/>
      <c r="E359" s="16" t="s">
        <v>11</v>
      </c>
      <c r="F359" s="18">
        <v>91718.31</v>
      </c>
      <c r="G359" s="20" t="s">
        <v>636</v>
      </c>
      <c r="H359" s="20" t="s">
        <v>24</v>
      </c>
    </row>
    <row r="360" spans="1:8">
      <c r="A360" s="15" t="s">
        <v>945</v>
      </c>
      <c r="B360" s="16" t="s">
        <v>69</v>
      </c>
      <c r="C360" s="8" t="s">
        <v>1159</v>
      </c>
      <c r="D360" s="17"/>
      <c r="E360" s="16" t="s">
        <v>11</v>
      </c>
      <c r="F360" s="18">
        <v>92500</v>
      </c>
      <c r="G360" s="20" t="s">
        <v>201</v>
      </c>
      <c r="H360" s="20" t="s">
        <v>24</v>
      </c>
    </row>
    <row r="361" spans="1:8">
      <c r="A361" s="15" t="s">
        <v>945</v>
      </c>
      <c r="B361" s="16" t="s">
        <v>69</v>
      </c>
      <c r="C361" s="8" t="s">
        <v>1123</v>
      </c>
      <c r="D361" s="17"/>
      <c r="E361" s="16" t="s">
        <v>11</v>
      </c>
      <c r="F361" s="18">
        <v>93138.8</v>
      </c>
      <c r="G361" s="20" t="s">
        <v>43</v>
      </c>
      <c r="H361" s="20" t="s">
        <v>24</v>
      </c>
    </row>
    <row r="362" spans="1:8">
      <c r="A362" s="15" t="s">
        <v>945</v>
      </c>
      <c r="B362" s="16" t="s">
        <v>69</v>
      </c>
      <c r="C362" s="8" t="s">
        <v>1075</v>
      </c>
      <c r="D362" s="17"/>
      <c r="E362" s="16" t="s">
        <v>11</v>
      </c>
      <c r="F362" s="18">
        <v>93353.96</v>
      </c>
      <c r="G362" s="20" t="s">
        <v>1076</v>
      </c>
      <c r="H362" s="20" t="s">
        <v>28</v>
      </c>
    </row>
    <row r="363" spans="1:8">
      <c r="A363" s="15" t="s">
        <v>945</v>
      </c>
      <c r="B363" s="16" t="s">
        <v>69</v>
      </c>
      <c r="C363" s="8" t="s">
        <v>1025</v>
      </c>
      <c r="D363" s="17"/>
      <c r="E363" s="16" t="s">
        <v>11</v>
      </c>
      <c r="F363" s="18">
        <v>93720.36</v>
      </c>
      <c r="G363" s="20" t="s">
        <v>554</v>
      </c>
      <c r="H363" s="20" t="s">
        <v>28</v>
      </c>
    </row>
    <row r="364" spans="1:8">
      <c r="A364" s="15" t="s">
        <v>945</v>
      </c>
      <c r="B364" s="16" t="s">
        <v>69</v>
      </c>
      <c r="C364" s="8" t="s">
        <v>1111</v>
      </c>
      <c r="D364" s="17"/>
      <c r="E364" s="16" t="s">
        <v>11</v>
      </c>
      <c r="F364" s="18">
        <v>94015.92</v>
      </c>
      <c r="G364" s="20" t="s">
        <v>962</v>
      </c>
      <c r="H364" s="20" t="s">
        <v>47</v>
      </c>
    </row>
    <row r="365" ht="30" spans="1:8">
      <c r="A365" s="15" t="s">
        <v>945</v>
      </c>
      <c r="B365" s="16" t="s">
        <v>69</v>
      </c>
      <c r="C365" s="8" t="s">
        <v>954</v>
      </c>
      <c r="D365" s="17"/>
      <c r="E365" s="16" t="s">
        <v>11</v>
      </c>
      <c r="F365" s="18">
        <v>94090.13</v>
      </c>
      <c r="G365" s="20" t="s">
        <v>36</v>
      </c>
      <c r="H365" s="20" t="s">
        <v>1058</v>
      </c>
    </row>
    <row r="366" spans="1:8">
      <c r="A366" s="15" t="s">
        <v>945</v>
      </c>
      <c r="B366" s="16" t="s">
        <v>69</v>
      </c>
      <c r="C366" s="8" t="s">
        <v>1080</v>
      </c>
      <c r="D366" s="17"/>
      <c r="E366" s="16" t="s">
        <v>11</v>
      </c>
      <c r="F366" s="18">
        <v>95356.36</v>
      </c>
      <c r="G366" s="20" t="s">
        <v>74</v>
      </c>
      <c r="H366" s="20" t="s">
        <v>24</v>
      </c>
    </row>
    <row r="367" spans="1:8">
      <c r="A367" s="15" t="s">
        <v>945</v>
      </c>
      <c r="B367" s="16" t="s">
        <v>69</v>
      </c>
      <c r="C367" s="8" t="s">
        <v>984</v>
      </c>
      <c r="D367" s="17"/>
      <c r="E367" s="16" t="s">
        <v>11</v>
      </c>
      <c r="F367" s="18">
        <v>95500</v>
      </c>
      <c r="G367" s="20" t="s">
        <v>636</v>
      </c>
      <c r="H367" s="20" t="s">
        <v>24</v>
      </c>
    </row>
    <row r="368" spans="1:8">
      <c r="A368" s="15" t="s">
        <v>945</v>
      </c>
      <c r="B368" s="16" t="s">
        <v>69</v>
      </c>
      <c r="C368" s="8" t="s">
        <v>947</v>
      </c>
      <c r="D368" s="17"/>
      <c r="E368" s="16" t="s">
        <v>11</v>
      </c>
      <c r="F368" s="18">
        <v>95917.61</v>
      </c>
      <c r="G368" s="20" t="s">
        <v>948</v>
      </c>
      <c r="H368" s="20" t="s">
        <v>81</v>
      </c>
    </row>
    <row r="369" ht="30" spans="1:8">
      <c r="A369" s="15" t="s">
        <v>945</v>
      </c>
      <c r="B369" s="16" t="s">
        <v>69</v>
      </c>
      <c r="C369" s="8" t="s">
        <v>1160</v>
      </c>
      <c r="D369" s="17"/>
      <c r="E369" s="16" t="s">
        <v>11</v>
      </c>
      <c r="F369" s="18">
        <v>96141.35</v>
      </c>
      <c r="G369" s="20" t="s">
        <v>271</v>
      </c>
      <c r="H369" s="20" t="s">
        <v>1058</v>
      </c>
    </row>
    <row r="370" spans="1:8">
      <c r="A370" s="15" t="s">
        <v>945</v>
      </c>
      <c r="B370" s="16" t="s">
        <v>69</v>
      </c>
      <c r="C370" s="8" t="s">
        <v>1161</v>
      </c>
      <c r="D370" s="17"/>
      <c r="E370" s="16" t="s">
        <v>11</v>
      </c>
      <c r="F370" s="18">
        <v>96141.35</v>
      </c>
      <c r="G370" s="20" t="s">
        <v>23</v>
      </c>
      <c r="H370" s="20" t="s">
        <v>24</v>
      </c>
    </row>
    <row r="371" spans="1:8">
      <c r="A371" s="15" t="s">
        <v>945</v>
      </c>
      <c r="B371" s="16" t="s">
        <v>69</v>
      </c>
      <c r="C371" s="8" t="s">
        <v>1045</v>
      </c>
      <c r="D371" s="17"/>
      <c r="E371" s="16" t="s">
        <v>11</v>
      </c>
      <c r="F371" s="18">
        <v>96284.21</v>
      </c>
      <c r="G371" s="20" t="s">
        <v>609</v>
      </c>
      <c r="H371" s="20" t="s">
        <v>81</v>
      </c>
    </row>
    <row r="372" spans="1:8">
      <c r="A372" s="16" t="s">
        <v>945</v>
      </c>
      <c r="B372" s="16" t="s">
        <v>69</v>
      </c>
      <c r="C372" s="8" t="s">
        <v>1098</v>
      </c>
      <c r="D372" s="17"/>
      <c r="E372" s="16" t="s">
        <v>11</v>
      </c>
      <c r="F372" s="18">
        <v>96995.15</v>
      </c>
      <c r="G372" s="20" t="s">
        <v>235</v>
      </c>
      <c r="H372" s="20" t="s">
        <v>67</v>
      </c>
    </row>
    <row r="373" spans="1:8">
      <c r="A373" s="15" t="s">
        <v>945</v>
      </c>
      <c r="B373" s="16" t="s">
        <v>69</v>
      </c>
      <c r="C373" s="8" t="s">
        <v>1081</v>
      </c>
      <c r="D373" s="17"/>
      <c r="E373" s="16" t="s">
        <v>11</v>
      </c>
      <c r="F373" s="18">
        <v>97023.19</v>
      </c>
      <c r="G373" s="16" t="s">
        <v>1082</v>
      </c>
      <c r="H373" s="20" t="s">
        <v>67</v>
      </c>
    </row>
    <row r="374" spans="1:8">
      <c r="A374" s="15" t="s">
        <v>945</v>
      </c>
      <c r="B374" s="16" t="s">
        <v>69</v>
      </c>
      <c r="C374" s="8" t="s">
        <v>1146</v>
      </c>
      <c r="D374" s="17"/>
      <c r="E374" s="16" t="s">
        <v>11</v>
      </c>
      <c r="F374" s="18">
        <v>97775.55</v>
      </c>
      <c r="G374" s="20" t="s">
        <v>36</v>
      </c>
      <c r="H374" s="20" t="s">
        <v>36</v>
      </c>
    </row>
    <row r="375" spans="1:8">
      <c r="A375" s="15" t="s">
        <v>945</v>
      </c>
      <c r="B375" s="16" t="s">
        <v>69</v>
      </c>
      <c r="C375" s="8" t="s">
        <v>1035</v>
      </c>
      <c r="D375" s="17"/>
      <c r="E375" s="16" t="s">
        <v>11</v>
      </c>
      <c r="F375" s="18">
        <v>97880.37</v>
      </c>
      <c r="G375" s="20" t="s">
        <v>1009</v>
      </c>
      <c r="H375" s="20" t="s">
        <v>67</v>
      </c>
    </row>
    <row r="376" spans="1:8">
      <c r="A376" s="15" t="s">
        <v>945</v>
      </c>
      <c r="B376" s="16" t="s">
        <v>69</v>
      </c>
      <c r="C376" s="8" t="s">
        <v>1162</v>
      </c>
      <c r="D376" s="17"/>
      <c r="E376" s="16" t="s">
        <v>11</v>
      </c>
      <c r="F376" s="18">
        <v>99180</v>
      </c>
      <c r="G376" s="20" t="s">
        <v>66</v>
      </c>
      <c r="H376" s="20" t="s">
        <v>67</v>
      </c>
    </row>
    <row r="377" spans="1:8">
      <c r="A377" s="15" t="s">
        <v>945</v>
      </c>
      <c r="B377" s="16" t="s">
        <v>69</v>
      </c>
      <c r="C377" s="8" t="s">
        <v>1163</v>
      </c>
      <c r="D377" s="17"/>
      <c r="E377" s="16" t="s">
        <v>11</v>
      </c>
      <c r="F377" s="18">
        <v>101019.41</v>
      </c>
      <c r="G377" s="20" t="s">
        <v>35</v>
      </c>
      <c r="H377" s="20" t="s">
        <v>24</v>
      </c>
    </row>
    <row r="378" spans="1:8">
      <c r="A378" s="15" t="s">
        <v>945</v>
      </c>
      <c r="B378" s="16" t="s">
        <v>69</v>
      </c>
      <c r="C378" s="8" t="s">
        <v>963</v>
      </c>
      <c r="D378" s="17"/>
      <c r="E378" s="16" t="s">
        <v>11</v>
      </c>
      <c r="F378" s="18">
        <v>101174.77</v>
      </c>
      <c r="G378" s="20" t="s">
        <v>74</v>
      </c>
      <c r="H378" s="20" t="s">
        <v>24</v>
      </c>
    </row>
    <row r="379" spans="1:8">
      <c r="A379" s="15" t="s">
        <v>945</v>
      </c>
      <c r="B379" s="16" t="s">
        <v>69</v>
      </c>
      <c r="C379" s="8" t="s">
        <v>980</v>
      </c>
      <c r="D379" s="17"/>
      <c r="E379" s="16" t="s">
        <v>11</v>
      </c>
      <c r="F379" s="18">
        <v>101750.65</v>
      </c>
      <c r="G379" s="20" t="s">
        <v>35</v>
      </c>
      <c r="H379" s="20" t="s">
        <v>24</v>
      </c>
    </row>
    <row r="380" spans="1:8">
      <c r="A380" s="15" t="s">
        <v>945</v>
      </c>
      <c r="B380" s="16" t="s">
        <v>69</v>
      </c>
      <c r="C380" s="8" t="s">
        <v>1050</v>
      </c>
      <c r="D380" s="17"/>
      <c r="E380" s="16" t="s">
        <v>11</v>
      </c>
      <c r="F380" s="18">
        <v>102962.48</v>
      </c>
      <c r="G380" s="20" t="s">
        <v>609</v>
      </c>
      <c r="H380" s="20" t="s">
        <v>81</v>
      </c>
    </row>
    <row r="381" spans="1:8">
      <c r="A381" s="15" t="s">
        <v>945</v>
      </c>
      <c r="B381" s="16" t="s">
        <v>69</v>
      </c>
      <c r="C381" s="8" t="s">
        <v>1164</v>
      </c>
      <c r="D381" s="17"/>
      <c r="E381" s="16" t="s">
        <v>11</v>
      </c>
      <c r="F381" s="18">
        <v>104191.55</v>
      </c>
      <c r="G381" s="20" t="s">
        <v>1165</v>
      </c>
      <c r="H381" s="20" t="s">
        <v>24</v>
      </c>
    </row>
    <row r="382" spans="1:8">
      <c r="A382" s="16" t="s">
        <v>945</v>
      </c>
      <c r="B382" s="16" t="s">
        <v>69</v>
      </c>
      <c r="C382" s="8" t="s">
        <v>1166</v>
      </c>
      <c r="D382" s="17"/>
      <c r="E382" s="16" t="s">
        <v>11</v>
      </c>
      <c r="F382" s="18">
        <v>104779.17</v>
      </c>
      <c r="G382" s="20" t="s">
        <v>976</v>
      </c>
      <c r="H382" s="20" t="s">
        <v>67</v>
      </c>
    </row>
    <row r="383" spans="1:8">
      <c r="A383" s="15" t="s">
        <v>945</v>
      </c>
      <c r="B383" s="16" t="s">
        <v>69</v>
      </c>
      <c r="C383" s="8" t="s">
        <v>1146</v>
      </c>
      <c r="D383" s="17"/>
      <c r="E383" s="16" t="s">
        <v>11</v>
      </c>
      <c r="F383" s="18">
        <v>104880.85</v>
      </c>
      <c r="G383" s="20" t="s">
        <v>36</v>
      </c>
      <c r="H383" s="20" t="s">
        <v>36</v>
      </c>
    </row>
    <row r="384" spans="1:8">
      <c r="A384" s="16" t="s">
        <v>945</v>
      </c>
      <c r="B384" s="16" t="s">
        <v>69</v>
      </c>
      <c r="C384" s="8" t="s">
        <v>1005</v>
      </c>
      <c r="D384" s="17"/>
      <c r="E384" s="16" t="s">
        <v>11</v>
      </c>
      <c r="F384" s="18">
        <v>104982.28</v>
      </c>
      <c r="G384" s="20" t="s">
        <v>1167</v>
      </c>
      <c r="H384" s="20" t="s">
        <v>28</v>
      </c>
    </row>
    <row r="385" spans="1:8">
      <c r="A385" s="16" t="s">
        <v>945</v>
      </c>
      <c r="B385" s="16" t="s">
        <v>69</v>
      </c>
      <c r="C385" s="16" t="s">
        <v>1046</v>
      </c>
      <c r="D385" s="17"/>
      <c r="E385" s="16" t="s">
        <v>11</v>
      </c>
      <c r="F385" s="18">
        <v>105202.16</v>
      </c>
      <c r="G385" s="19" t="s">
        <v>36</v>
      </c>
      <c r="H385" s="19" t="s">
        <v>47</v>
      </c>
    </row>
    <row r="386" spans="1:8">
      <c r="A386" s="15" t="s">
        <v>945</v>
      </c>
      <c r="B386" s="16" t="s">
        <v>69</v>
      </c>
      <c r="C386" s="8" t="s">
        <v>1017</v>
      </c>
      <c r="D386" s="17"/>
      <c r="E386" s="16" t="s">
        <v>11</v>
      </c>
      <c r="F386" s="18">
        <v>105666.28</v>
      </c>
      <c r="G386" s="20" t="s">
        <v>1018</v>
      </c>
      <c r="H386" s="20" t="s">
        <v>67</v>
      </c>
    </row>
    <row r="387" spans="1:8">
      <c r="A387" s="15" t="s">
        <v>945</v>
      </c>
      <c r="B387" s="16" t="s">
        <v>69</v>
      </c>
      <c r="C387" s="8" t="s">
        <v>1168</v>
      </c>
      <c r="D387" s="17"/>
      <c r="E387" s="16" t="s">
        <v>11</v>
      </c>
      <c r="F387" s="18">
        <v>107000</v>
      </c>
      <c r="G387" s="20" t="s">
        <v>356</v>
      </c>
      <c r="H387" s="20" t="s">
        <v>67</v>
      </c>
    </row>
    <row r="388" spans="1:8">
      <c r="A388" s="15" t="s">
        <v>945</v>
      </c>
      <c r="B388" s="16" t="s">
        <v>69</v>
      </c>
      <c r="C388" s="8" t="s">
        <v>1153</v>
      </c>
      <c r="D388" s="17"/>
      <c r="E388" s="16" t="s">
        <v>11</v>
      </c>
      <c r="F388" s="18">
        <v>107025.06</v>
      </c>
      <c r="G388" s="20" t="s">
        <v>66</v>
      </c>
      <c r="H388" s="20" t="s">
        <v>24</v>
      </c>
    </row>
    <row r="389" spans="1:8">
      <c r="A389" s="15" t="s">
        <v>945</v>
      </c>
      <c r="B389" s="16" t="s">
        <v>69</v>
      </c>
      <c r="C389" s="8" t="s">
        <v>1139</v>
      </c>
      <c r="D389" s="17"/>
      <c r="E389" s="16" t="s">
        <v>11</v>
      </c>
      <c r="F389" s="18">
        <v>107030.12</v>
      </c>
      <c r="G389" s="20" t="s">
        <v>194</v>
      </c>
      <c r="H389" s="20" t="s">
        <v>81</v>
      </c>
    </row>
    <row r="390" spans="1:8">
      <c r="A390" s="15" t="s">
        <v>945</v>
      </c>
      <c r="B390" s="16" t="s">
        <v>69</v>
      </c>
      <c r="C390" s="8" t="s">
        <v>1102</v>
      </c>
      <c r="D390" s="17"/>
      <c r="E390" s="16" t="s">
        <v>11</v>
      </c>
      <c r="F390" s="18">
        <v>107212.58</v>
      </c>
      <c r="G390" s="20" t="s">
        <v>66</v>
      </c>
      <c r="H390" s="20" t="s">
        <v>67</v>
      </c>
    </row>
    <row r="391" spans="1:8">
      <c r="A391" s="15" t="s">
        <v>945</v>
      </c>
      <c r="B391" s="16" t="s">
        <v>69</v>
      </c>
      <c r="C391" s="16" t="s">
        <v>1169</v>
      </c>
      <c r="D391" s="17"/>
      <c r="E391" s="16" t="s">
        <v>11</v>
      </c>
      <c r="F391" s="18">
        <v>108020.5</v>
      </c>
      <c r="G391" s="20" t="s">
        <v>976</v>
      </c>
      <c r="H391" s="20" t="s">
        <v>67</v>
      </c>
    </row>
    <row r="392" spans="1:8">
      <c r="A392" s="15" t="s">
        <v>945</v>
      </c>
      <c r="B392" s="16" t="s">
        <v>69</v>
      </c>
      <c r="C392" s="8" t="s">
        <v>1061</v>
      </c>
      <c r="D392" s="17"/>
      <c r="E392" s="16" t="s">
        <v>11</v>
      </c>
      <c r="F392" s="18">
        <v>108974.8</v>
      </c>
      <c r="G392" s="20" t="s">
        <v>74</v>
      </c>
      <c r="H392" s="20" t="s">
        <v>24</v>
      </c>
    </row>
    <row r="393" spans="1:8">
      <c r="A393" s="15" t="s">
        <v>945</v>
      </c>
      <c r="B393" s="16" t="s">
        <v>69</v>
      </c>
      <c r="C393" s="8" t="s">
        <v>1170</v>
      </c>
      <c r="D393" s="17"/>
      <c r="E393" s="16" t="s">
        <v>11</v>
      </c>
      <c r="F393" s="18">
        <v>109061.29</v>
      </c>
      <c r="G393" s="20" t="s">
        <v>66</v>
      </c>
      <c r="H393" s="20" t="s">
        <v>67</v>
      </c>
    </row>
    <row r="394" spans="1:8">
      <c r="A394" s="15" t="s">
        <v>945</v>
      </c>
      <c r="B394" s="16" t="s">
        <v>69</v>
      </c>
      <c r="C394" s="8" t="s">
        <v>974</v>
      </c>
      <c r="D394" s="17"/>
      <c r="E394" s="16" t="s">
        <v>11</v>
      </c>
      <c r="F394" s="18">
        <v>109403.11</v>
      </c>
      <c r="G394" s="20" t="s">
        <v>356</v>
      </c>
      <c r="H394" s="20" t="s">
        <v>67</v>
      </c>
    </row>
    <row r="395" spans="1:8">
      <c r="A395" s="15" t="s">
        <v>945</v>
      </c>
      <c r="B395" s="16" t="s">
        <v>69</v>
      </c>
      <c r="C395" s="8" t="s">
        <v>1171</v>
      </c>
      <c r="D395" s="17"/>
      <c r="E395" s="16" t="s">
        <v>11</v>
      </c>
      <c r="F395" s="18">
        <v>110000</v>
      </c>
      <c r="G395" s="20" t="s">
        <v>482</v>
      </c>
      <c r="H395" s="20" t="s">
        <v>81</v>
      </c>
    </row>
    <row r="396" spans="1:8">
      <c r="A396" s="15" t="s">
        <v>945</v>
      </c>
      <c r="B396" s="16" t="s">
        <v>69</v>
      </c>
      <c r="C396" s="8" t="s">
        <v>1087</v>
      </c>
      <c r="D396" s="17"/>
      <c r="E396" s="16" t="s">
        <v>11</v>
      </c>
      <c r="F396" s="18">
        <v>110400</v>
      </c>
      <c r="G396" s="19" t="s">
        <v>1012</v>
      </c>
      <c r="H396" s="19" t="s">
        <v>28</v>
      </c>
    </row>
    <row r="397" spans="1:8">
      <c r="A397" s="15" t="s">
        <v>945</v>
      </c>
      <c r="B397" s="16" t="s">
        <v>69</v>
      </c>
      <c r="C397" s="8" t="s">
        <v>973</v>
      </c>
      <c r="D397" s="17"/>
      <c r="E397" s="16" t="s">
        <v>11</v>
      </c>
      <c r="F397" s="18">
        <v>110451.57</v>
      </c>
      <c r="G397" s="20" t="s">
        <v>27</v>
      </c>
      <c r="H397" s="20" t="s">
        <v>28</v>
      </c>
    </row>
    <row r="398" spans="1:8">
      <c r="A398" s="15" t="s">
        <v>945</v>
      </c>
      <c r="B398" s="16" t="s">
        <v>69</v>
      </c>
      <c r="C398" s="8" t="s">
        <v>1172</v>
      </c>
      <c r="D398" s="17"/>
      <c r="E398" s="16" t="s">
        <v>11</v>
      </c>
      <c r="F398" s="18">
        <v>110943.28</v>
      </c>
      <c r="G398" s="20" t="s">
        <v>1082</v>
      </c>
      <c r="H398" s="20" t="s">
        <v>67</v>
      </c>
    </row>
    <row r="399" spans="1:8">
      <c r="A399" s="15" t="s">
        <v>945</v>
      </c>
      <c r="B399" s="16" t="s">
        <v>69</v>
      </c>
      <c r="C399" s="8" t="s">
        <v>1019</v>
      </c>
      <c r="D399" s="17"/>
      <c r="E399" s="16" t="s">
        <v>11</v>
      </c>
      <c r="F399" s="18">
        <v>111779.08</v>
      </c>
      <c r="G399" s="20" t="s">
        <v>636</v>
      </c>
      <c r="H399" s="20" t="s">
        <v>24</v>
      </c>
    </row>
    <row r="400" spans="1:8">
      <c r="A400" s="15" t="s">
        <v>945</v>
      </c>
      <c r="B400" s="16" t="s">
        <v>69</v>
      </c>
      <c r="C400" s="8" t="s">
        <v>1017</v>
      </c>
      <c r="D400" s="17"/>
      <c r="E400" s="16" t="s">
        <v>11</v>
      </c>
      <c r="F400" s="18">
        <v>112767.72</v>
      </c>
      <c r="G400" s="20" t="s">
        <v>1018</v>
      </c>
      <c r="H400" s="20" t="s">
        <v>67</v>
      </c>
    </row>
    <row r="401" spans="1:8">
      <c r="A401" s="15" t="s">
        <v>945</v>
      </c>
      <c r="B401" s="16" t="s">
        <v>69</v>
      </c>
      <c r="C401" s="8" t="s">
        <v>1035</v>
      </c>
      <c r="D401" s="17"/>
      <c r="E401" s="16" t="s">
        <v>11</v>
      </c>
      <c r="F401" s="18">
        <v>112856.39</v>
      </c>
      <c r="G401" s="20" t="s">
        <v>356</v>
      </c>
      <c r="H401" s="20" t="s">
        <v>67</v>
      </c>
    </row>
    <row r="402" spans="1:8">
      <c r="A402" s="16" t="s">
        <v>945</v>
      </c>
      <c r="B402" s="16" t="s">
        <v>69</v>
      </c>
      <c r="C402" s="8" t="s">
        <v>1173</v>
      </c>
      <c r="D402" s="17"/>
      <c r="E402" s="16" t="s">
        <v>11</v>
      </c>
      <c r="F402" s="18">
        <v>113900</v>
      </c>
      <c r="G402" s="20" t="s">
        <v>277</v>
      </c>
      <c r="H402" s="20" t="s">
        <v>24</v>
      </c>
    </row>
    <row r="403" spans="1:8">
      <c r="A403" s="15" t="s">
        <v>945</v>
      </c>
      <c r="B403" s="16" t="s">
        <v>69</v>
      </c>
      <c r="C403" s="8" t="s">
        <v>1174</v>
      </c>
      <c r="D403" s="17"/>
      <c r="E403" s="16" t="s">
        <v>11</v>
      </c>
      <c r="F403" s="18">
        <v>114195.92</v>
      </c>
      <c r="G403" s="20" t="s">
        <v>66</v>
      </c>
      <c r="H403" s="20" t="s">
        <v>67</v>
      </c>
    </row>
    <row r="404" spans="1:8">
      <c r="A404" s="15" t="s">
        <v>945</v>
      </c>
      <c r="B404" s="16" t="s">
        <v>69</v>
      </c>
      <c r="C404" s="8" t="s">
        <v>989</v>
      </c>
      <c r="D404" s="17"/>
      <c r="E404" s="16" t="s">
        <v>11</v>
      </c>
      <c r="F404" s="18">
        <v>114857.06</v>
      </c>
      <c r="G404" s="20" t="s">
        <v>616</v>
      </c>
      <c r="H404" s="20" t="s">
        <v>67</v>
      </c>
    </row>
    <row r="405" spans="1:8">
      <c r="A405" s="15" t="s">
        <v>945</v>
      </c>
      <c r="B405" s="16" t="s">
        <v>69</v>
      </c>
      <c r="C405" s="8" t="s">
        <v>1146</v>
      </c>
      <c r="D405" s="17"/>
      <c r="E405" s="16" t="s">
        <v>11</v>
      </c>
      <c r="F405" s="18">
        <v>115513.22</v>
      </c>
      <c r="G405" s="20" t="s">
        <v>36</v>
      </c>
      <c r="H405" s="20" t="s">
        <v>36</v>
      </c>
    </row>
    <row r="406" spans="1:8">
      <c r="A406" s="15" t="s">
        <v>945</v>
      </c>
      <c r="B406" s="16" t="s">
        <v>69</v>
      </c>
      <c r="C406" s="8" t="s">
        <v>1175</v>
      </c>
      <c r="D406" s="17"/>
      <c r="E406" s="16" t="s">
        <v>11</v>
      </c>
      <c r="F406" s="18">
        <v>115752.65</v>
      </c>
      <c r="G406" s="20" t="s">
        <v>966</v>
      </c>
      <c r="H406" s="20" t="s">
        <v>81</v>
      </c>
    </row>
    <row r="407" spans="1:8">
      <c r="A407" s="16" t="s">
        <v>945</v>
      </c>
      <c r="B407" s="16" t="s">
        <v>69</v>
      </c>
      <c r="C407" s="16" t="s">
        <v>1176</v>
      </c>
      <c r="D407" s="17"/>
      <c r="E407" s="16" t="s">
        <v>11</v>
      </c>
      <c r="F407" s="18">
        <v>115954.54</v>
      </c>
      <c r="G407" s="20" t="s">
        <v>74</v>
      </c>
      <c r="H407" s="20" t="s">
        <v>24</v>
      </c>
    </row>
    <row r="408" spans="1:8">
      <c r="A408" s="16" t="s">
        <v>945</v>
      </c>
      <c r="B408" s="16" t="s">
        <v>69</v>
      </c>
      <c r="C408" s="8" t="s">
        <v>1033</v>
      </c>
      <c r="D408" s="17"/>
      <c r="E408" s="16" t="s">
        <v>11</v>
      </c>
      <c r="F408" s="18">
        <v>116322.5</v>
      </c>
      <c r="G408" s="20" t="s">
        <v>235</v>
      </c>
      <c r="H408" s="20" t="s">
        <v>67</v>
      </c>
    </row>
    <row r="409" spans="1:8">
      <c r="A409" s="15" t="s">
        <v>945</v>
      </c>
      <c r="B409" s="16" t="s">
        <v>69</v>
      </c>
      <c r="C409" s="8" t="s">
        <v>1103</v>
      </c>
      <c r="D409" s="17"/>
      <c r="E409" s="16" t="s">
        <v>11</v>
      </c>
      <c r="F409" s="18">
        <v>116569.92</v>
      </c>
      <c r="G409" s="20" t="s">
        <v>201</v>
      </c>
      <c r="H409" s="20" t="s">
        <v>24</v>
      </c>
    </row>
    <row r="410" spans="1:8">
      <c r="A410" s="15" t="s">
        <v>945</v>
      </c>
      <c r="B410" s="16" t="s">
        <v>69</v>
      </c>
      <c r="C410" s="8" t="s">
        <v>1177</v>
      </c>
      <c r="D410" s="17"/>
      <c r="E410" s="16" t="s">
        <v>11</v>
      </c>
      <c r="F410" s="18">
        <v>116995.82</v>
      </c>
      <c r="G410" s="20" t="s">
        <v>78</v>
      </c>
      <c r="H410" s="20" t="s">
        <v>24</v>
      </c>
    </row>
    <row r="411" spans="1:8">
      <c r="A411" s="16" t="s">
        <v>945</v>
      </c>
      <c r="B411" s="16" t="s">
        <v>69</v>
      </c>
      <c r="C411" s="8" t="s">
        <v>1014</v>
      </c>
      <c r="D411" s="17"/>
      <c r="E411" s="16" t="s">
        <v>11</v>
      </c>
      <c r="F411" s="18">
        <v>117220.55</v>
      </c>
      <c r="G411" s="20" t="s">
        <v>35</v>
      </c>
      <c r="H411" s="20" t="s">
        <v>24</v>
      </c>
    </row>
    <row r="412" spans="1:8">
      <c r="A412" s="16" t="s">
        <v>945</v>
      </c>
      <c r="B412" s="16" t="s">
        <v>69</v>
      </c>
      <c r="C412" s="8" t="s">
        <v>1178</v>
      </c>
      <c r="D412" s="17"/>
      <c r="E412" s="16" t="s">
        <v>11</v>
      </c>
      <c r="F412" s="18">
        <v>117640.89</v>
      </c>
      <c r="G412" s="20" t="s">
        <v>235</v>
      </c>
      <c r="H412" s="20" t="s">
        <v>67</v>
      </c>
    </row>
    <row r="413" spans="1:8">
      <c r="A413" s="16" t="s">
        <v>945</v>
      </c>
      <c r="B413" s="16" t="s">
        <v>69</v>
      </c>
      <c r="C413" s="8" t="s">
        <v>1179</v>
      </c>
      <c r="D413" s="17"/>
      <c r="E413" s="16" t="s">
        <v>11</v>
      </c>
      <c r="F413" s="18">
        <v>118664</v>
      </c>
      <c r="G413" s="22" t="s">
        <v>1082</v>
      </c>
      <c r="H413" s="20" t="s">
        <v>67</v>
      </c>
    </row>
    <row r="414" spans="1:8">
      <c r="A414" s="15" t="s">
        <v>945</v>
      </c>
      <c r="B414" s="16" t="s">
        <v>69</v>
      </c>
      <c r="C414" s="16" t="s">
        <v>1074</v>
      </c>
      <c r="D414" s="17"/>
      <c r="E414" s="16" t="s">
        <v>11</v>
      </c>
      <c r="F414" s="18">
        <v>119851.27</v>
      </c>
      <c r="G414" s="20" t="s">
        <v>36</v>
      </c>
      <c r="H414" s="20" t="s">
        <v>36</v>
      </c>
    </row>
    <row r="415" spans="1:8">
      <c r="A415" s="16" t="s">
        <v>945</v>
      </c>
      <c r="B415" s="16" t="s">
        <v>69</v>
      </c>
      <c r="C415" s="8" t="s">
        <v>1180</v>
      </c>
      <c r="D415" s="17"/>
      <c r="E415" s="16" t="s">
        <v>11</v>
      </c>
      <c r="F415" s="18">
        <v>121617.61</v>
      </c>
      <c r="G415" s="20" t="s">
        <v>596</v>
      </c>
      <c r="H415" s="20" t="s">
        <v>36</v>
      </c>
    </row>
    <row r="416" spans="1:8">
      <c r="A416" s="15" t="s">
        <v>945</v>
      </c>
      <c r="B416" s="16" t="s">
        <v>69</v>
      </c>
      <c r="C416" s="8" t="s">
        <v>1020</v>
      </c>
      <c r="D416" s="17"/>
      <c r="E416" s="16" t="s">
        <v>11</v>
      </c>
      <c r="F416" s="18">
        <v>122037.1</v>
      </c>
      <c r="G416" s="20" t="s">
        <v>201</v>
      </c>
      <c r="H416" s="20" t="s">
        <v>24</v>
      </c>
    </row>
    <row r="417" spans="1:8">
      <c r="A417" s="15" t="s">
        <v>945</v>
      </c>
      <c r="B417" s="16" t="s">
        <v>69</v>
      </c>
      <c r="C417" s="8" t="s">
        <v>1000</v>
      </c>
      <c r="D417" s="17"/>
      <c r="E417" s="16" t="s">
        <v>11</v>
      </c>
      <c r="F417" s="18">
        <v>122370.7</v>
      </c>
      <c r="G417" s="20" t="s">
        <v>325</v>
      </c>
      <c r="H417" s="20" t="s">
        <v>81</v>
      </c>
    </row>
    <row r="418" spans="1:8">
      <c r="A418" s="16" t="s">
        <v>945</v>
      </c>
      <c r="B418" s="16" t="s">
        <v>69</v>
      </c>
      <c r="C418" s="8" t="s">
        <v>1026</v>
      </c>
      <c r="D418" s="17"/>
      <c r="E418" s="16" t="s">
        <v>11</v>
      </c>
      <c r="F418" s="18">
        <v>122440.83</v>
      </c>
      <c r="G418" s="20" t="s">
        <v>1027</v>
      </c>
      <c r="H418" s="20" t="s">
        <v>24</v>
      </c>
    </row>
    <row r="419" spans="1:8">
      <c r="A419" s="15" t="s">
        <v>945</v>
      </c>
      <c r="B419" s="16" t="s">
        <v>69</v>
      </c>
      <c r="C419" s="8" t="s">
        <v>1181</v>
      </c>
      <c r="D419" s="17"/>
      <c r="E419" s="16" t="s">
        <v>11</v>
      </c>
      <c r="F419" s="18">
        <v>123250.83</v>
      </c>
      <c r="G419" s="20" t="s">
        <v>1070</v>
      </c>
      <c r="H419" s="20" t="s">
        <v>47</v>
      </c>
    </row>
    <row r="420" spans="1:8">
      <c r="A420" s="15" t="s">
        <v>945</v>
      </c>
      <c r="B420" s="16" t="s">
        <v>69</v>
      </c>
      <c r="C420" s="8" t="s">
        <v>975</v>
      </c>
      <c r="D420" s="17"/>
      <c r="E420" s="16" t="s">
        <v>11</v>
      </c>
      <c r="F420" s="18">
        <v>123500.46</v>
      </c>
      <c r="G420" s="20" t="s">
        <v>976</v>
      </c>
      <c r="H420" s="20" t="s">
        <v>67</v>
      </c>
    </row>
    <row r="421" spans="1:8">
      <c r="A421" s="15" t="s">
        <v>945</v>
      </c>
      <c r="B421" s="16" t="s">
        <v>69</v>
      </c>
      <c r="C421" s="8" t="s">
        <v>989</v>
      </c>
      <c r="D421" s="17"/>
      <c r="E421" s="16" t="s">
        <v>11</v>
      </c>
      <c r="F421" s="18">
        <v>123561.44</v>
      </c>
      <c r="G421" s="20" t="s">
        <v>616</v>
      </c>
      <c r="H421" s="20" t="s">
        <v>67</v>
      </c>
    </row>
    <row r="422" spans="1:8">
      <c r="A422" s="15" t="s">
        <v>945</v>
      </c>
      <c r="B422" s="16" t="s">
        <v>69</v>
      </c>
      <c r="C422" s="8" t="s">
        <v>1182</v>
      </c>
      <c r="D422" s="17"/>
      <c r="E422" s="16" t="s">
        <v>11</v>
      </c>
      <c r="F422" s="18">
        <v>123595.5</v>
      </c>
      <c r="G422" s="20" t="s">
        <v>179</v>
      </c>
      <c r="H422" s="20" t="s">
        <v>81</v>
      </c>
    </row>
    <row r="423" spans="1:8">
      <c r="A423" s="15" t="s">
        <v>945</v>
      </c>
      <c r="B423" s="16" t="s">
        <v>69</v>
      </c>
      <c r="C423" s="8" t="s">
        <v>1183</v>
      </c>
      <c r="D423" s="17"/>
      <c r="E423" s="16" t="s">
        <v>11</v>
      </c>
      <c r="F423" s="18">
        <v>123630</v>
      </c>
      <c r="G423" s="20" t="s">
        <v>616</v>
      </c>
      <c r="H423" s="20" t="s">
        <v>67</v>
      </c>
    </row>
    <row r="424" spans="1:8">
      <c r="A424" s="15" t="s">
        <v>945</v>
      </c>
      <c r="B424" s="16" t="s">
        <v>69</v>
      </c>
      <c r="C424" s="8" t="s">
        <v>1183</v>
      </c>
      <c r="D424" s="17"/>
      <c r="E424" s="16" t="s">
        <v>11</v>
      </c>
      <c r="F424" s="18">
        <v>123900</v>
      </c>
      <c r="G424" s="20" t="s">
        <v>616</v>
      </c>
      <c r="H424" s="20" t="s">
        <v>67</v>
      </c>
    </row>
    <row r="425" spans="1:8">
      <c r="A425" s="15" t="s">
        <v>945</v>
      </c>
      <c r="B425" s="16" t="s">
        <v>69</v>
      </c>
      <c r="C425" s="8" t="s">
        <v>1184</v>
      </c>
      <c r="D425" s="17"/>
      <c r="E425" s="16" t="s">
        <v>11</v>
      </c>
      <c r="F425" s="18">
        <v>123912.44</v>
      </c>
      <c r="G425" s="20" t="s">
        <v>636</v>
      </c>
      <c r="H425" s="20" t="s">
        <v>24</v>
      </c>
    </row>
    <row r="426" spans="1:8">
      <c r="A426" s="15" t="s">
        <v>945</v>
      </c>
      <c r="B426" s="16" t="s">
        <v>69</v>
      </c>
      <c r="C426" s="8" t="s">
        <v>1185</v>
      </c>
      <c r="D426" s="17"/>
      <c r="E426" s="16" t="s">
        <v>11</v>
      </c>
      <c r="F426" s="18">
        <v>124000</v>
      </c>
      <c r="G426" s="20" t="s">
        <v>962</v>
      </c>
      <c r="H426" s="20" t="s">
        <v>47</v>
      </c>
    </row>
    <row r="427" spans="1:8">
      <c r="A427" s="15" t="s">
        <v>945</v>
      </c>
      <c r="B427" s="16" t="s">
        <v>69</v>
      </c>
      <c r="C427" s="8" t="s">
        <v>1186</v>
      </c>
      <c r="D427" s="17"/>
      <c r="E427" s="16" t="s">
        <v>11</v>
      </c>
      <c r="F427" s="18">
        <v>124000</v>
      </c>
      <c r="G427" s="20" t="s">
        <v>962</v>
      </c>
      <c r="H427" s="20" t="s">
        <v>47</v>
      </c>
    </row>
    <row r="428" spans="1:8">
      <c r="A428" s="15" t="s">
        <v>945</v>
      </c>
      <c r="B428" s="16" t="s">
        <v>69</v>
      </c>
      <c r="C428" s="8" t="s">
        <v>1187</v>
      </c>
      <c r="D428" s="17"/>
      <c r="E428" s="16" t="s">
        <v>11</v>
      </c>
      <c r="F428" s="18">
        <v>124120.31</v>
      </c>
      <c r="G428" s="20" t="s">
        <v>1095</v>
      </c>
      <c r="H428" s="20" t="s">
        <v>47</v>
      </c>
    </row>
    <row r="429" spans="1:8">
      <c r="A429" s="16" t="s">
        <v>945</v>
      </c>
      <c r="B429" s="16" t="s">
        <v>69</v>
      </c>
      <c r="C429" s="8" t="s">
        <v>1071</v>
      </c>
      <c r="D429" s="17"/>
      <c r="E429" s="16" t="s">
        <v>11</v>
      </c>
      <c r="F429" s="18">
        <v>124218.43</v>
      </c>
      <c r="G429" s="20" t="s">
        <v>78</v>
      </c>
      <c r="H429" s="20" t="s">
        <v>24</v>
      </c>
    </row>
    <row r="430" spans="1:8">
      <c r="A430" s="16" t="s">
        <v>945</v>
      </c>
      <c r="B430" s="16" t="s">
        <v>69</v>
      </c>
      <c r="C430" s="8" t="s">
        <v>1188</v>
      </c>
      <c r="D430" s="17"/>
      <c r="E430" s="16" t="s">
        <v>11</v>
      </c>
      <c r="F430" s="18">
        <v>124318.41</v>
      </c>
      <c r="G430" s="20" t="s">
        <v>1141</v>
      </c>
      <c r="H430" s="20" t="s">
        <v>47</v>
      </c>
    </row>
    <row r="431" spans="1:8">
      <c r="A431" s="15" t="s">
        <v>945</v>
      </c>
      <c r="B431" s="16" t="s">
        <v>69</v>
      </c>
      <c r="C431" s="16" t="s">
        <v>1189</v>
      </c>
      <c r="D431" s="17"/>
      <c r="E431" s="16" t="s">
        <v>11</v>
      </c>
      <c r="F431" s="18">
        <v>124418.31</v>
      </c>
      <c r="G431" s="20" t="s">
        <v>232</v>
      </c>
      <c r="H431" s="20" t="s">
        <v>24</v>
      </c>
    </row>
    <row r="432" ht="30" spans="1:8">
      <c r="A432" s="15" t="s">
        <v>945</v>
      </c>
      <c r="B432" s="16" t="s">
        <v>69</v>
      </c>
      <c r="C432" s="8" t="s">
        <v>1190</v>
      </c>
      <c r="D432" s="17"/>
      <c r="E432" s="16" t="s">
        <v>11</v>
      </c>
      <c r="F432" s="18">
        <v>124500</v>
      </c>
      <c r="G432" s="20" t="s">
        <v>36</v>
      </c>
      <c r="H432" s="20" t="s">
        <v>1058</v>
      </c>
    </row>
    <row r="433" spans="1:8">
      <c r="A433" s="15" t="s">
        <v>945</v>
      </c>
      <c r="B433" s="16" t="s">
        <v>69</v>
      </c>
      <c r="C433" s="8" t="s">
        <v>1191</v>
      </c>
      <c r="D433" s="17"/>
      <c r="E433" s="16" t="s">
        <v>11</v>
      </c>
      <c r="F433" s="18">
        <v>124500</v>
      </c>
      <c r="G433" s="19" t="s">
        <v>1018</v>
      </c>
      <c r="H433" s="19" t="s">
        <v>67</v>
      </c>
    </row>
    <row r="434" spans="1:8">
      <c r="A434" s="15" t="s">
        <v>945</v>
      </c>
      <c r="B434" s="16" t="s">
        <v>69</v>
      </c>
      <c r="C434" s="16" t="s">
        <v>1192</v>
      </c>
      <c r="D434" s="17"/>
      <c r="E434" s="16" t="s">
        <v>11</v>
      </c>
      <c r="F434" s="18">
        <v>124600</v>
      </c>
      <c r="G434" s="20" t="s">
        <v>254</v>
      </c>
      <c r="H434" s="20" t="s">
        <v>24</v>
      </c>
    </row>
    <row r="435" spans="1:8">
      <c r="A435" s="15" t="s">
        <v>945</v>
      </c>
      <c r="B435" s="16" t="s">
        <v>69</v>
      </c>
      <c r="C435" s="8" t="s">
        <v>1193</v>
      </c>
      <c r="D435" s="17"/>
      <c r="E435" s="16" t="s">
        <v>11</v>
      </c>
      <c r="F435" s="18">
        <v>124700</v>
      </c>
      <c r="G435" s="20" t="s">
        <v>66</v>
      </c>
      <c r="H435" s="20" t="s">
        <v>67</v>
      </c>
    </row>
    <row r="436" spans="1:8">
      <c r="A436" s="15" t="s">
        <v>945</v>
      </c>
      <c r="B436" s="16" t="s">
        <v>69</v>
      </c>
      <c r="C436" s="8" t="s">
        <v>1084</v>
      </c>
      <c r="D436" s="17"/>
      <c r="E436" s="16" t="s">
        <v>11</v>
      </c>
      <c r="F436" s="18">
        <v>124700</v>
      </c>
      <c r="G436" s="20" t="s">
        <v>66</v>
      </c>
      <c r="H436" s="20" t="s">
        <v>67</v>
      </c>
    </row>
    <row r="437" spans="1:8">
      <c r="A437" s="15" t="s">
        <v>945</v>
      </c>
      <c r="B437" s="16" t="s">
        <v>69</v>
      </c>
      <c r="C437" s="16" t="s">
        <v>1194</v>
      </c>
      <c r="D437" s="17"/>
      <c r="E437" s="16" t="s">
        <v>11</v>
      </c>
      <c r="F437" s="18">
        <v>124700</v>
      </c>
      <c r="G437" s="20" t="s">
        <v>66</v>
      </c>
      <c r="H437" s="20" t="s">
        <v>67</v>
      </c>
    </row>
    <row r="438" spans="1:8">
      <c r="A438" s="15" t="s">
        <v>945</v>
      </c>
      <c r="B438" s="16" t="s">
        <v>69</v>
      </c>
      <c r="C438" s="8" t="s">
        <v>1195</v>
      </c>
      <c r="D438" s="17"/>
      <c r="E438" s="16" t="s">
        <v>11</v>
      </c>
      <c r="F438" s="18">
        <v>124718.31</v>
      </c>
      <c r="G438" s="20" t="s">
        <v>235</v>
      </c>
      <c r="H438" s="20" t="s">
        <v>67</v>
      </c>
    </row>
    <row r="439" spans="1:8">
      <c r="A439" s="15" t="s">
        <v>945</v>
      </c>
      <c r="B439" s="16" t="s">
        <v>69</v>
      </c>
      <c r="C439" s="8" t="s">
        <v>1177</v>
      </c>
      <c r="D439" s="17"/>
      <c r="E439" s="16" t="s">
        <v>11</v>
      </c>
      <c r="F439" s="18">
        <v>124810.25</v>
      </c>
      <c r="G439" s="20" t="s">
        <v>78</v>
      </c>
      <c r="H439" s="20" t="s">
        <v>24</v>
      </c>
    </row>
    <row r="440" spans="1:8">
      <c r="A440" s="15" t="s">
        <v>945</v>
      </c>
      <c r="B440" s="16" t="s">
        <v>69</v>
      </c>
      <c r="C440" s="8" t="s">
        <v>1125</v>
      </c>
      <c r="D440" s="17"/>
      <c r="E440" s="16" t="s">
        <v>11</v>
      </c>
      <c r="F440" s="18">
        <v>125192</v>
      </c>
      <c r="G440" s="20" t="s">
        <v>46</v>
      </c>
      <c r="H440" s="20" t="s">
        <v>47</v>
      </c>
    </row>
    <row r="441" spans="1:8">
      <c r="A441" s="15" t="s">
        <v>945</v>
      </c>
      <c r="B441" s="16" t="s">
        <v>69</v>
      </c>
      <c r="C441" s="8" t="s">
        <v>1196</v>
      </c>
      <c r="D441" s="17"/>
      <c r="E441" s="16" t="s">
        <v>11</v>
      </c>
      <c r="F441" s="18">
        <v>125821.32</v>
      </c>
      <c r="G441" s="20" t="s">
        <v>482</v>
      </c>
      <c r="H441" s="20" t="s">
        <v>81</v>
      </c>
    </row>
    <row r="442" spans="1:8">
      <c r="A442" s="15" t="s">
        <v>945</v>
      </c>
      <c r="B442" s="16" t="s">
        <v>69</v>
      </c>
      <c r="C442" s="8" t="s">
        <v>1039</v>
      </c>
      <c r="D442" s="17"/>
      <c r="E442" s="16" t="s">
        <v>11</v>
      </c>
      <c r="F442" s="18">
        <v>126356.26</v>
      </c>
      <c r="G442" s="20" t="s">
        <v>105</v>
      </c>
      <c r="H442" s="20" t="s">
        <v>81</v>
      </c>
    </row>
    <row r="443" spans="1:8">
      <c r="A443" s="16" t="s">
        <v>945</v>
      </c>
      <c r="B443" s="16" t="s">
        <v>69</v>
      </c>
      <c r="C443" s="8" t="s">
        <v>1026</v>
      </c>
      <c r="D443" s="17"/>
      <c r="E443" s="16" t="s">
        <v>11</v>
      </c>
      <c r="F443" s="18">
        <v>126840.56</v>
      </c>
      <c r="G443" s="20" t="s">
        <v>1027</v>
      </c>
      <c r="H443" s="20" t="s">
        <v>24</v>
      </c>
    </row>
    <row r="444" spans="1:8">
      <c r="A444" s="15" t="s">
        <v>945</v>
      </c>
      <c r="B444" s="16" t="s">
        <v>69</v>
      </c>
      <c r="C444" s="8" t="s">
        <v>1112</v>
      </c>
      <c r="D444" s="17"/>
      <c r="E444" s="16" t="s">
        <v>11</v>
      </c>
      <c r="F444" s="18">
        <v>126917.55</v>
      </c>
      <c r="G444" s="20" t="s">
        <v>474</v>
      </c>
      <c r="H444" s="20" t="s">
        <v>28</v>
      </c>
    </row>
    <row r="445" spans="1:8">
      <c r="A445" s="15" t="s">
        <v>945</v>
      </c>
      <c r="B445" s="16" t="s">
        <v>69</v>
      </c>
      <c r="C445" s="8" t="s">
        <v>1102</v>
      </c>
      <c r="D445" s="17"/>
      <c r="E445" s="16" t="s">
        <v>11</v>
      </c>
      <c r="F445" s="18">
        <v>127102.43</v>
      </c>
      <c r="G445" s="20" t="s">
        <v>66</v>
      </c>
      <c r="H445" s="20" t="s">
        <v>67</v>
      </c>
    </row>
    <row r="446" spans="1:8">
      <c r="A446" s="15" t="s">
        <v>945</v>
      </c>
      <c r="B446" s="16" t="s">
        <v>69</v>
      </c>
      <c r="C446" s="8" t="s">
        <v>952</v>
      </c>
      <c r="D446" s="17"/>
      <c r="E446" s="16" t="s">
        <v>11</v>
      </c>
      <c r="F446" s="18">
        <v>127851.46</v>
      </c>
      <c r="G446" s="20" t="s">
        <v>953</v>
      </c>
      <c r="H446" s="20" t="s">
        <v>81</v>
      </c>
    </row>
    <row r="447" spans="1:8">
      <c r="A447" s="15" t="s">
        <v>945</v>
      </c>
      <c r="B447" s="16" t="s">
        <v>69</v>
      </c>
      <c r="C447" s="8" t="s">
        <v>1197</v>
      </c>
      <c r="D447" s="17"/>
      <c r="E447" s="16" t="s">
        <v>11</v>
      </c>
      <c r="F447" s="18">
        <v>128579.67</v>
      </c>
      <c r="G447" s="20" t="s">
        <v>201</v>
      </c>
      <c r="H447" s="20" t="s">
        <v>24</v>
      </c>
    </row>
    <row r="448" spans="1:8">
      <c r="A448" s="16" t="s">
        <v>945</v>
      </c>
      <c r="B448" s="16" t="s">
        <v>69</v>
      </c>
      <c r="C448" s="8" t="s">
        <v>1198</v>
      </c>
      <c r="D448" s="17"/>
      <c r="E448" s="16" t="s">
        <v>11</v>
      </c>
      <c r="F448" s="18">
        <v>128585.36</v>
      </c>
      <c r="G448" s="20" t="s">
        <v>1199</v>
      </c>
      <c r="H448" s="20" t="s">
        <v>47</v>
      </c>
    </row>
    <row r="449" spans="1:8">
      <c r="A449" s="15" t="s">
        <v>945</v>
      </c>
      <c r="B449" s="16" t="s">
        <v>69</v>
      </c>
      <c r="C449" s="8" t="s">
        <v>1098</v>
      </c>
      <c r="D449" s="17"/>
      <c r="E449" s="16" t="s">
        <v>11</v>
      </c>
      <c r="F449" s="18">
        <v>130026.36</v>
      </c>
      <c r="G449" s="20" t="s">
        <v>235</v>
      </c>
      <c r="H449" s="20" t="s">
        <v>67</v>
      </c>
    </row>
    <row r="450" spans="1:8">
      <c r="A450" s="15" t="s">
        <v>945</v>
      </c>
      <c r="B450" s="16" t="s">
        <v>69</v>
      </c>
      <c r="C450" s="8" t="s">
        <v>1146</v>
      </c>
      <c r="D450" s="17"/>
      <c r="E450" s="16" t="s">
        <v>11</v>
      </c>
      <c r="F450" s="18">
        <v>130984.48</v>
      </c>
      <c r="G450" s="20" t="s">
        <v>36</v>
      </c>
      <c r="H450" s="20" t="s">
        <v>36</v>
      </c>
    </row>
    <row r="451" spans="1:8">
      <c r="A451" s="15" t="s">
        <v>945</v>
      </c>
      <c r="B451" s="16" t="s">
        <v>69</v>
      </c>
      <c r="C451" s="8" t="s">
        <v>1000</v>
      </c>
      <c r="D451" s="17"/>
      <c r="E451" s="16" t="s">
        <v>11</v>
      </c>
      <c r="F451" s="18">
        <v>131674.24</v>
      </c>
      <c r="G451" s="20" t="s">
        <v>325</v>
      </c>
      <c r="H451" s="20" t="s">
        <v>81</v>
      </c>
    </row>
    <row r="452" spans="1:8">
      <c r="A452" s="15" t="s">
        <v>945</v>
      </c>
      <c r="B452" s="16" t="s">
        <v>69</v>
      </c>
      <c r="C452" s="8" t="s">
        <v>985</v>
      </c>
      <c r="D452" s="17"/>
      <c r="E452" s="16" t="s">
        <v>11</v>
      </c>
      <c r="F452" s="18">
        <v>132068.53</v>
      </c>
      <c r="G452" s="20" t="s">
        <v>986</v>
      </c>
      <c r="H452" s="20" t="s">
        <v>67</v>
      </c>
    </row>
    <row r="453" spans="1:8">
      <c r="A453" s="16" t="s">
        <v>945</v>
      </c>
      <c r="B453" s="16" t="s">
        <v>69</v>
      </c>
      <c r="C453" s="8" t="s">
        <v>1110</v>
      </c>
      <c r="D453" s="17"/>
      <c r="E453" s="16" t="s">
        <v>11</v>
      </c>
      <c r="F453" s="18">
        <v>134120.74</v>
      </c>
      <c r="G453" s="20" t="s">
        <v>596</v>
      </c>
      <c r="H453" s="20" t="s">
        <v>24</v>
      </c>
    </row>
    <row r="454" spans="1:8">
      <c r="A454" s="16" t="s">
        <v>945</v>
      </c>
      <c r="B454" s="16" t="s">
        <v>69</v>
      </c>
      <c r="C454" s="8" t="s">
        <v>1200</v>
      </c>
      <c r="D454" s="17"/>
      <c r="E454" s="16" t="s">
        <v>11</v>
      </c>
      <c r="F454" s="18">
        <v>134341.48</v>
      </c>
      <c r="G454" s="16" t="s">
        <v>14</v>
      </c>
      <c r="H454" s="16" t="s">
        <v>14</v>
      </c>
    </row>
    <row r="455" spans="1:8">
      <c r="A455" s="16" t="s">
        <v>945</v>
      </c>
      <c r="B455" s="16" t="s">
        <v>69</v>
      </c>
      <c r="C455" s="8" t="s">
        <v>1201</v>
      </c>
      <c r="D455" s="17"/>
      <c r="E455" s="16" t="s">
        <v>11</v>
      </c>
      <c r="F455" s="18">
        <v>136229.79</v>
      </c>
      <c r="G455" s="20" t="s">
        <v>23</v>
      </c>
      <c r="H455" s="20" t="s">
        <v>24</v>
      </c>
    </row>
    <row r="456" spans="1:8">
      <c r="A456" s="15" t="s">
        <v>945</v>
      </c>
      <c r="B456" s="16" t="s">
        <v>69</v>
      </c>
      <c r="C456" s="8" t="s">
        <v>1085</v>
      </c>
      <c r="D456" s="17"/>
      <c r="E456" s="16" t="s">
        <v>11</v>
      </c>
      <c r="F456" s="18">
        <v>136259.57</v>
      </c>
      <c r="G456" s="20" t="s">
        <v>66</v>
      </c>
      <c r="H456" s="20" t="s">
        <v>67</v>
      </c>
    </row>
    <row r="457" spans="1:8">
      <c r="A457" s="16" t="s">
        <v>945</v>
      </c>
      <c r="B457" s="16" t="s">
        <v>69</v>
      </c>
      <c r="C457" s="8" t="s">
        <v>1014</v>
      </c>
      <c r="D457" s="17"/>
      <c r="E457" s="16" t="s">
        <v>11</v>
      </c>
      <c r="F457" s="18">
        <v>137166.71</v>
      </c>
      <c r="G457" s="20" t="s">
        <v>35</v>
      </c>
      <c r="H457" s="20" t="s">
        <v>24</v>
      </c>
    </row>
    <row r="458" spans="1:8">
      <c r="A458" s="16" t="s">
        <v>945</v>
      </c>
      <c r="B458" s="16" t="s">
        <v>69</v>
      </c>
      <c r="C458" s="16" t="s">
        <v>998</v>
      </c>
      <c r="D458" s="17"/>
      <c r="E458" s="16" t="s">
        <v>11</v>
      </c>
      <c r="F458" s="18">
        <v>137807.07</v>
      </c>
      <c r="G458" s="20" t="s">
        <v>1009</v>
      </c>
      <c r="H458" s="20" t="s">
        <v>67</v>
      </c>
    </row>
    <row r="459" spans="1:8">
      <c r="A459" s="15" t="s">
        <v>945</v>
      </c>
      <c r="B459" s="16" t="s">
        <v>69</v>
      </c>
      <c r="C459" s="8" t="s">
        <v>1140</v>
      </c>
      <c r="D459" s="17"/>
      <c r="E459" s="16" t="s">
        <v>11</v>
      </c>
      <c r="F459" s="18">
        <v>139581.39</v>
      </c>
      <c r="G459" s="20" t="s">
        <v>1141</v>
      </c>
      <c r="H459" s="20" t="s">
        <v>47</v>
      </c>
    </row>
    <row r="460" spans="1:8">
      <c r="A460" s="16" t="s">
        <v>945</v>
      </c>
      <c r="B460" s="16" t="s">
        <v>69</v>
      </c>
      <c r="C460" s="8" t="s">
        <v>1200</v>
      </c>
      <c r="D460" s="17"/>
      <c r="E460" s="16" t="s">
        <v>11</v>
      </c>
      <c r="F460" s="18">
        <v>140022.74</v>
      </c>
      <c r="G460" s="20" t="s">
        <v>36</v>
      </c>
      <c r="H460" s="20" t="s">
        <v>47</v>
      </c>
    </row>
    <row r="461" spans="1:8">
      <c r="A461" s="16" t="s">
        <v>945</v>
      </c>
      <c r="B461" s="16" t="s">
        <v>69</v>
      </c>
      <c r="C461" s="8" t="s">
        <v>971</v>
      </c>
      <c r="D461" s="17"/>
      <c r="E461" s="16" t="s">
        <v>11</v>
      </c>
      <c r="F461" s="18">
        <v>140653.3</v>
      </c>
      <c r="G461" s="20" t="s">
        <v>972</v>
      </c>
      <c r="H461" s="20" t="s">
        <v>24</v>
      </c>
    </row>
    <row r="462" spans="1:8">
      <c r="A462" s="15" t="s">
        <v>945</v>
      </c>
      <c r="B462" s="16" t="s">
        <v>69</v>
      </c>
      <c r="C462" s="8" t="s">
        <v>946</v>
      </c>
      <c r="D462" s="17"/>
      <c r="E462" s="16" t="s">
        <v>11</v>
      </c>
      <c r="F462" s="18">
        <v>141173.69</v>
      </c>
      <c r="G462" s="19" t="s">
        <v>543</v>
      </c>
      <c r="H462" s="19" t="s">
        <v>81</v>
      </c>
    </row>
    <row r="463" spans="1:8">
      <c r="A463" s="15" t="s">
        <v>945</v>
      </c>
      <c r="B463" s="16" t="s">
        <v>69</v>
      </c>
      <c r="C463" s="8" t="s">
        <v>964</v>
      </c>
      <c r="D463" s="17"/>
      <c r="E463" s="16" t="s">
        <v>11</v>
      </c>
      <c r="F463" s="18">
        <v>141753.14</v>
      </c>
      <c r="G463" s="20" t="s">
        <v>543</v>
      </c>
      <c r="H463" s="20" t="s">
        <v>81</v>
      </c>
    </row>
    <row r="464" spans="1:8">
      <c r="A464" s="15" t="s">
        <v>945</v>
      </c>
      <c r="B464" s="16" t="s">
        <v>69</v>
      </c>
      <c r="C464" s="8" t="s">
        <v>1122</v>
      </c>
      <c r="D464" s="17"/>
      <c r="E464" s="16" t="s">
        <v>11</v>
      </c>
      <c r="F464" s="18">
        <v>143041.9</v>
      </c>
      <c r="G464" s="20" t="s">
        <v>616</v>
      </c>
      <c r="H464" s="20" t="s">
        <v>67</v>
      </c>
    </row>
    <row r="465" spans="1:8">
      <c r="A465" s="15" t="s">
        <v>945</v>
      </c>
      <c r="B465" s="16" t="s">
        <v>69</v>
      </c>
      <c r="C465" s="8" t="s">
        <v>1035</v>
      </c>
      <c r="D465" s="17"/>
      <c r="E465" s="16" t="s">
        <v>11</v>
      </c>
      <c r="F465" s="18">
        <v>143913.07</v>
      </c>
      <c r="G465" s="20" t="s">
        <v>986</v>
      </c>
      <c r="H465" s="20" t="s">
        <v>67</v>
      </c>
    </row>
    <row r="466" spans="1:8">
      <c r="A466" s="16" t="s">
        <v>945</v>
      </c>
      <c r="B466" s="16" t="s">
        <v>69</v>
      </c>
      <c r="C466" s="8" t="s">
        <v>1069</v>
      </c>
      <c r="D466" s="17"/>
      <c r="E466" s="16" t="s">
        <v>11</v>
      </c>
      <c r="F466" s="18">
        <v>145300.38</v>
      </c>
      <c r="G466" s="20" t="s">
        <v>1070</v>
      </c>
      <c r="H466" s="20" t="s">
        <v>1070</v>
      </c>
    </row>
    <row r="467" spans="1:8">
      <c r="A467" s="15" t="s">
        <v>945</v>
      </c>
      <c r="B467" s="16" t="s">
        <v>69</v>
      </c>
      <c r="C467" s="8" t="s">
        <v>1202</v>
      </c>
      <c r="D467" s="17"/>
      <c r="E467" s="16" t="s">
        <v>11</v>
      </c>
      <c r="F467" s="18">
        <v>145498.07</v>
      </c>
      <c r="G467" s="20" t="s">
        <v>962</v>
      </c>
      <c r="H467" s="20" t="s">
        <v>47</v>
      </c>
    </row>
    <row r="468" spans="1:8">
      <c r="A468" s="15" t="s">
        <v>945</v>
      </c>
      <c r="B468" s="16" t="s">
        <v>69</v>
      </c>
      <c r="C468" s="8" t="s">
        <v>1037</v>
      </c>
      <c r="D468" s="17"/>
      <c r="E468" s="16" t="s">
        <v>11</v>
      </c>
      <c r="F468" s="18">
        <v>147111.91</v>
      </c>
      <c r="G468" s="19" t="s">
        <v>1038</v>
      </c>
      <c r="H468" s="19" t="s">
        <v>47</v>
      </c>
    </row>
    <row r="469" spans="1:8">
      <c r="A469" s="15" t="s">
        <v>945</v>
      </c>
      <c r="B469" s="16" t="s">
        <v>69</v>
      </c>
      <c r="C469" s="8" t="s">
        <v>949</v>
      </c>
      <c r="D469" s="17"/>
      <c r="E469" s="16" t="s">
        <v>11</v>
      </c>
      <c r="F469" s="18">
        <v>147183.96</v>
      </c>
      <c r="G469" s="20" t="s">
        <v>1203</v>
      </c>
      <c r="H469" s="20" t="s">
        <v>81</v>
      </c>
    </row>
    <row r="470" spans="1:8">
      <c r="A470" s="15" t="s">
        <v>945</v>
      </c>
      <c r="B470" s="16" t="s">
        <v>69</v>
      </c>
      <c r="C470" s="8" t="s">
        <v>1101</v>
      </c>
      <c r="D470" s="17"/>
      <c r="E470" s="16" t="s">
        <v>11</v>
      </c>
      <c r="F470" s="18">
        <v>149077.48</v>
      </c>
      <c r="G470" s="20" t="s">
        <v>274</v>
      </c>
      <c r="H470" s="20" t="s">
        <v>47</v>
      </c>
    </row>
    <row r="471" spans="1:8">
      <c r="A471" s="16" t="s">
        <v>945</v>
      </c>
      <c r="B471" s="16" t="s">
        <v>69</v>
      </c>
      <c r="C471" s="8" t="s">
        <v>1014</v>
      </c>
      <c r="D471" s="17"/>
      <c r="E471" s="16" t="s">
        <v>11</v>
      </c>
      <c r="F471" s="18">
        <v>149745.13</v>
      </c>
      <c r="G471" s="20" t="s">
        <v>35</v>
      </c>
      <c r="H471" s="20" t="s">
        <v>24</v>
      </c>
    </row>
    <row r="472" spans="1:8">
      <c r="A472" s="15" t="s">
        <v>945</v>
      </c>
      <c r="B472" s="16" t="s">
        <v>69</v>
      </c>
      <c r="C472" s="8" t="s">
        <v>1007</v>
      </c>
      <c r="D472" s="17"/>
      <c r="E472" s="16" t="s">
        <v>11</v>
      </c>
      <c r="F472" s="18">
        <v>150661.61</v>
      </c>
      <c r="G472" s="19" t="s">
        <v>46</v>
      </c>
      <c r="H472" s="19" t="s">
        <v>47</v>
      </c>
    </row>
    <row r="473" spans="1:8">
      <c r="A473" s="15" t="s">
        <v>945</v>
      </c>
      <c r="B473" s="16" t="s">
        <v>69</v>
      </c>
      <c r="C473" s="8" t="s">
        <v>1105</v>
      </c>
      <c r="D473" s="17"/>
      <c r="E473" s="16" t="s">
        <v>11</v>
      </c>
      <c r="F473" s="18">
        <v>152483.65</v>
      </c>
      <c r="G473" s="20" t="s">
        <v>50</v>
      </c>
      <c r="H473" s="20" t="s">
        <v>47</v>
      </c>
    </row>
    <row r="474" spans="1:8">
      <c r="A474" s="16" t="s">
        <v>945</v>
      </c>
      <c r="B474" s="16" t="s">
        <v>69</v>
      </c>
      <c r="C474" s="8" t="s">
        <v>1127</v>
      </c>
      <c r="D474" s="17"/>
      <c r="E474" s="16" t="s">
        <v>11</v>
      </c>
      <c r="F474" s="18">
        <v>152503.22</v>
      </c>
      <c r="G474" s="20" t="s">
        <v>31</v>
      </c>
      <c r="H474" s="20" t="s">
        <v>24</v>
      </c>
    </row>
    <row r="475" spans="1:8">
      <c r="A475" s="16" t="s">
        <v>945</v>
      </c>
      <c r="B475" s="16" t="s">
        <v>69</v>
      </c>
      <c r="C475" s="8" t="s">
        <v>1023</v>
      </c>
      <c r="D475" s="17"/>
      <c r="E475" s="16" t="s">
        <v>11</v>
      </c>
      <c r="F475" s="18">
        <v>152631.78</v>
      </c>
      <c r="G475" s="20" t="s">
        <v>1024</v>
      </c>
      <c r="H475" s="20" t="s">
        <v>67</v>
      </c>
    </row>
    <row r="476" spans="1:8">
      <c r="A476" s="15" t="s">
        <v>945</v>
      </c>
      <c r="B476" s="16" t="s">
        <v>69</v>
      </c>
      <c r="C476" s="8" t="s">
        <v>1036</v>
      </c>
      <c r="D476" s="17"/>
      <c r="E476" s="16" t="s">
        <v>11</v>
      </c>
      <c r="F476" s="18">
        <v>153253.6</v>
      </c>
      <c r="G476" s="20" t="s">
        <v>1032</v>
      </c>
      <c r="H476" s="20" t="s">
        <v>47</v>
      </c>
    </row>
    <row r="477" spans="1:8">
      <c r="A477" s="15" t="s">
        <v>945</v>
      </c>
      <c r="B477" s="16" t="s">
        <v>69</v>
      </c>
      <c r="C477" s="8" t="s">
        <v>1043</v>
      </c>
      <c r="D477" s="17"/>
      <c r="E477" s="16" t="s">
        <v>11</v>
      </c>
      <c r="F477" s="18">
        <v>153401.23</v>
      </c>
      <c r="G477" s="20" t="s">
        <v>232</v>
      </c>
      <c r="H477" s="20" t="s">
        <v>24</v>
      </c>
    </row>
    <row r="478" spans="1:8">
      <c r="A478" s="15" t="s">
        <v>945</v>
      </c>
      <c r="B478" s="16" t="s">
        <v>69</v>
      </c>
      <c r="C478" s="8" t="s">
        <v>952</v>
      </c>
      <c r="D478" s="17"/>
      <c r="E478" s="16" t="s">
        <v>11</v>
      </c>
      <c r="F478" s="18">
        <v>153506.86</v>
      </c>
      <c r="G478" s="20" t="s">
        <v>953</v>
      </c>
      <c r="H478" s="20" t="s">
        <v>81</v>
      </c>
    </row>
    <row r="479" spans="1:8">
      <c r="A479" s="16" t="s">
        <v>945</v>
      </c>
      <c r="B479" s="16" t="s">
        <v>69</v>
      </c>
      <c r="C479" s="8" t="s">
        <v>1033</v>
      </c>
      <c r="D479" s="17"/>
      <c r="E479" s="16" t="s">
        <v>11</v>
      </c>
      <c r="F479" s="18">
        <v>153650.34</v>
      </c>
      <c r="G479" s="20" t="s">
        <v>235</v>
      </c>
      <c r="H479" s="20" t="s">
        <v>67</v>
      </c>
    </row>
    <row r="480" spans="1:8">
      <c r="A480" s="15" t="s">
        <v>945</v>
      </c>
      <c r="B480" s="16" t="s">
        <v>69</v>
      </c>
      <c r="C480" s="8" t="s">
        <v>1007</v>
      </c>
      <c r="D480" s="17"/>
      <c r="E480" s="16" t="s">
        <v>11</v>
      </c>
      <c r="F480" s="18">
        <v>154493.44</v>
      </c>
      <c r="G480" s="19" t="s">
        <v>46</v>
      </c>
      <c r="H480" s="19" t="s">
        <v>47</v>
      </c>
    </row>
    <row r="481" spans="1:8">
      <c r="A481" s="16" t="s">
        <v>945</v>
      </c>
      <c r="B481" s="16" t="s">
        <v>69</v>
      </c>
      <c r="C481" s="8" t="s">
        <v>1204</v>
      </c>
      <c r="D481" s="17"/>
      <c r="E481" s="16" t="s">
        <v>11</v>
      </c>
      <c r="F481" s="18">
        <v>156538.42</v>
      </c>
      <c r="G481" s="20" t="s">
        <v>210</v>
      </c>
      <c r="H481" s="20" t="s">
        <v>36</v>
      </c>
    </row>
    <row r="482" spans="1:8">
      <c r="A482" s="15" t="s">
        <v>945</v>
      </c>
      <c r="B482" s="16" t="s">
        <v>69</v>
      </c>
      <c r="C482" s="8" t="s">
        <v>1019</v>
      </c>
      <c r="D482" s="17"/>
      <c r="E482" s="16" t="s">
        <v>11</v>
      </c>
      <c r="F482" s="18">
        <v>157547.62</v>
      </c>
      <c r="G482" s="20" t="s">
        <v>636</v>
      </c>
      <c r="H482" s="20" t="s">
        <v>24</v>
      </c>
    </row>
    <row r="483" spans="1:8">
      <c r="A483" s="15" t="s">
        <v>945</v>
      </c>
      <c r="B483" s="16" t="s">
        <v>69</v>
      </c>
      <c r="C483" s="8" t="s">
        <v>952</v>
      </c>
      <c r="D483" s="17"/>
      <c r="E483" s="16" t="s">
        <v>11</v>
      </c>
      <c r="F483" s="18">
        <v>158564.22</v>
      </c>
      <c r="G483" s="20" t="s">
        <v>953</v>
      </c>
      <c r="H483" s="20" t="s">
        <v>81</v>
      </c>
    </row>
    <row r="484" spans="1:8">
      <c r="A484" s="15" t="s">
        <v>945</v>
      </c>
      <c r="B484" s="16" t="s">
        <v>69</v>
      </c>
      <c r="C484" s="8" t="s">
        <v>1001</v>
      </c>
      <c r="D484" s="17"/>
      <c r="E484" s="16" t="s">
        <v>11</v>
      </c>
      <c r="F484" s="18">
        <v>161340</v>
      </c>
      <c r="G484" s="19" t="s">
        <v>993</v>
      </c>
      <c r="H484" s="19" t="s">
        <v>47</v>
      </c>
    </row>
    <row r="485" spans="1:8">
      <c r="A485" s="15" t="s">
        <v>945</v>
      </c>
      <c r="B485" s="16" t="s">
        <v>69</v>
      </c>
      <c r="C485" s="8" t="s">
        <v>1007</v>
      </c>
      <c r="D485" s="17"/>
      <c r="E485" s="16" t="s">
        <v>11</v>
      </c>
      <c r="F485" s="18">
        <v>161487.25</v>
      </c>
      <c r="G485" s="19" t="s">
        <v>46</v>
      </c>
      <c r="H485" s="19" t="s">
        <v>47</v>
      </c>
    </row>
    <row r="486" spans="1:8">
      <c r="A486" s="15" t="s">
        <v>945</v>
      </c>
      <c r="B486" s="16" t="s">
        <v>69</v>
      </c>
      <c r="C486" s="8" t="s">
        <v>1045</v>
      </c>
      <c r="D486" s="17"/>
      <c r="E486" s="16" t="s">
        <v>11</v>
      </c>
      <c r="F486" s="18">
        <v>162017.86</v>
      </c>
      <c r="G486" s="20" t="s">
        <v>609</v>
      </c>
      <c r="H486" s="20" t="s">
        <v>81</v>
      </c>
    </row>
    <row r="487" spans="1:8">
      <c r="A487" s="15" t="s">
        <v>945</v>
      </c>
      <c r="B487" s="16" t="s">
        <v>69</v>
      </c>
      <c r="C487" s="8" t="s">
        <v>989</v>
      </c>
      <c r="D487" s="17"/>
      <c r="E487" s="16" t="s">
        <v>11</v>
      </c>
      <c r="F487" s="18">
        <v>162488.38</v>
      </c>
      <c r="G487" s="20" t="s">
        <v>616</v>
      </c>
      <c r="H487" s="20" t="s">
        <v>67</v>
      </c>
    </row>
    <row r="488" spans="1:8">
      <c r="A488" s="15" t="s">
        <v>945</v>
      </c>
      <c r="B488" s="16" t="s">
        <v>69</v>
      </c>
      <c r="C488" s="8" t="s">
        <v>1089</v>
      </c>
      <c r="D488" s="17"/>
      <c r="E488" s="16" t="s">
        <v>11</v>
      </c>
      <c r="F488" s="18">
        <v>162852.98</v>
      </c>
      <c r="G488" s="20" t="s">
        <v>66</v>
      </c>
      <c r="H488" s="20" t="s">
        <v>67</v>
      </c>
    </row>
    <row r="489" spans="1:8">
      <c r="A489" s="15" t="s">
        <v>945</v>
      </c>
      <c r="B489" s="16" t="s">
        <v>69</v>
      </c>
      <c r="C489" s="8" t="s">
        <v>963</v>
      </c>
      <c r="D489" s="17"/>
      <c r="E489" s="16" t="s">
        <v>11</v>
      </c>
      <c r="F489" s="18">
        <v>163931.95</v>
      </c>
      <c r="G489" s="20" t="s">
        <v>74</v>
      </c>
      <c r="H489" s="20" t="s">
        <v>24</v>
      </c>
    </row>
    <row r="490" spans="1:8">
      <c r="A490" s="15" t="s">
        <v>945</v>
      </c>
      <c r="B490" s="16" t="s">
        <v>69</v>
      </c>
      <c r="C490" s="8" t="s">
        <v>951</v>
      </c>
      <c r="D490" s="17"/>
      <c r="E490" s="16" t="s">
        <v>11</v>
      </c>
      <c r="F490" s="18">
        <v>164094.44</v>
      </c>
      <c r="G490" s="20" t="s">
        <v>74</v>
      </c>
      <c r="H490" s="20" t="s">
        <v>24</v>
      </c>
    </row>
    <row r="491" spans="1:8">
      <c r="A491" s="15" t="s">
        <v>945</v>
      </c>
      <c r="B491" s="16" t="s">
        <v>69</v>
      </c>
      <c r="C491" s="8" t="s">
        <v>1045</v>
      </c>
      <c r="D491" s="17"/>
      <c r="E491" s="16" t="s">
        <v>11</v>
      </c>
      <c r="F491" s="18">
        <v>166363.74</v>
      </c>
      <c r="G491" s="20" t="s">
        <v>609</v>
      </c>
      <c r="H491" s="20" t="s">
        <v>81</v>
      </c>
    </row>
    <row r="492" spans="1:8">
      <c r="A492" s="15" t="s">
        <v>945</v>
      </c>
      <c r="B492" s="16" t="s">
        <v>69</v>
      </c>
      <c r="C492" s="8" t="s">
        <v>1048</v>
      </c>
      <c r="D492" s="17"/>
      <c r="E492" s="16" t="s">
        <v>11</v>
      </c>
      <c r="F492" s="18">
        <v>167029.07</v>
      </c>
      <c r="G492" s="20" t="s">
        <v>1049</v>
      </c>
      <c r="H492" s="20" t="s">
        <v>67</v>
      </c>
    </row>
    <row r="493" spans="1:8">
      <c r="A493" s="15" t="s">
        <v>945</v>
      </c>
      <c r="B493" s="16" t="s">
        <v>69</v>
      </c>
      <c r="C493" s="8" t="s">
        <v>1205</v>
      </c>
      <c r="D493" s="17"/>
      <c r="E493" s="16" t="s">
        <v>11</v>
      </c>
      <c r="F493" s="18">
        <v>168063.8</v>
      </c>
      <c r="G493" s="20" t="s">
        <v>636</v>
      </c>
      <c r="H493" s="20" t="s">
        <v>24</v>
      </c>
    </row>
    <row r="494" spans="1:8">
      <c r="A494" s="15" t="s">
        <v>945</v>
      </c>
      <c r="B494" s="16" t="s">
        <v>69</v>
      </c>
      <c r="C494" s="8" t="s">
        <v>989</v>
      </c>
      <c r="D494" s="17"/>
      <c r="E494" s="16" t="s">
        <v>11</v>
      </c>
      <c r="F494" s="18">
        <v>168352.61</v>
      </c>
      <c r="G494" s="20" t="s">
        <v>616</v>
      </c>
      <c r="H494" s="20" t="s">
        <v>67</v>
      </c>
    </row>
    <row r="495" spans="1:8">
      <c r="A495" s="15" t="s">
        <v>945</v>
      </c>
      <c r="B495" s="16" t="s">
        <v>69</v>
      </c>
      <c r="C495" s="8" t="s">
        <v>1085</v>
      </c>
      <c r="D495" s="17"/>
      <c r="E495" s="16" t="s">
        <v>11</v>
      </c>
      <c r="F495" s="18">
        <v>171107.52</v>
      </c>
      <c r="G495" s="20" t="s">
        <v>66</v>
      </c>
      <c r="H495" s="20" t="s">
        <v>67</v>
      </c>
    </row>
    <row r="496" spans="1:8">
      <c r="A496" s="15" t="s">
        <v>945</v>
      </c>
      <c r="B496" s="16" t="s">
        <v>69</v>
      </c>
      <c r="C496" s="8" t="s">
        <v>1037</v>
      </c>
      <c r="D496" s="17"/>
      <c r="E496" s="16" t="s">
        <v>11</v>
      </c>
      <c r="F496" s="18">
        <v>171331.31</v>
      </c>
      <c r="G496" s="19" t="s">
        <v>1038</v>
      </c>
      <c r="H496" s="19" t="s">
        <v>47</v>
      </c>
    </row>
    <row r="497" spans="1:8">
      <c r="A497" s="15" t="s">
        <v>945</v>
      </c>
      <c r="B497" s="16" t="s">
        <v>69</v>
      </c>
      <c r="C497" s="8" t="s">
        <v>1078</v>
      </c>
      <c r="D497" s="17"/>
      <c r="E497" s="16" t="s">
        <v>11</v>
      </c>
      <c r="F497" s="18">
        <v>171471.36</v>
      </c>
      <c r="G497" s="20" t="s">
        <v>288</v>
      </c>
      <c r="H497" s="20" t="s">
        <v>24</v>
      </c>
    </row>
    <row r="498" spans="1:8">
      <c r="A498" s="16" t="s">
        <v>945</v>
      </c>
      <c r="B498" s="16" t="s">
        <v>69</v>
      </c>
      <c r="C498" s="8" t="s">
        <v>1033</v>
      </c>
      <c r="D498" s="17"/>
      <c r="E498" s="16" t="s">
        <v>11</v>
      </c>
      <c r="F498" s="18">
        <v>172023.06</v>
      </c>
      <c r="G498" s="20" t="s">
        <v>235</v>
      </c>
      <c r="H498" s="20" t="s">
        <v>67</v>
      </c>
    </row>
    <row r="499" spans="1:8">
      <c r="A499" s="15" t="s">
        <v>945</v>
      </c>
      <c r="B499" s="16" t="s">
        <v>69</v>
      </c>
      <c r="C499" s="8" t="s">
        <v>1113</v>
      </c>
      <c r="D499" s="17"/>
      <c r="E499" s="16" t="s">
        <v>11</v>
      </c>
      <c r="F499" s="18">
        <v>172813.24</v>
      </c>
      <c r="G499" s="20" t="s">
        <v>586</v>
      </c>
      <c r="H499" s="20" t="s">
        <v>81</v>
      </c>
    </row>
    <row r="500" spans="1:8">
      <c r="A500" s="15" t="s">
        <v>945</v>
      </c>
      <c r="B500" s="16" t="s">
        <v>69</v>
      </c>
      <c r="C500" s="8" t="s">
        <v>1002</v>
      </c>
      <c r="D500" s="17"/>
      <c r="E500" s="16" t="s">
        <v>11</v>
      </c>
      <c r="F500" s="18">
        <v>173110.49</v>
      </c>
      <c r="G500" s="20" t="s">
        <v>718</v>
      </c>
      <c r="H500" s="20" t="s">
        <v>24</v>
      </c>
    </row>
    <row r="501" spans="1:8">
      <c r="A501" s="15" t="s">
        <v>945</v>
      </c>
      <c r="B501" s="16" t="s">
        <v>69</v>
      </c>
      <c r="C501" s="8" t="s">
        <v>1139</v>
      </c>
      <c r="D501" s="17"/>
      <c r="E501" s="16" t="s">
        <v>11</v>
      </c>
      <c r="F501" s="18">
        <v>173404.86</v>
      </c>
      <c r="G501" s="20" t="s">
        <v>194</v>
      </c>
      <c r="H501" s="20" t="s">
        <v>81</v>
      </c>
    </row>
    <row r="502" spans="1:8">
      <c r="A502" s="15" t="s">
        <v>945</v>
      </c>
      <c r="B502" s="16" t="s">
        <v>69</v>
      </c>
      <c r="C502" s="8" t="s">
        <v>1206</v>
      </c>
      <c r="D502" s="17"/>
      <c r="E502" s="16" t="s">
        <v>11</v>
      </c>
      <c r="F502" s="18">
        <v>174144.88</v>
      </c>
      <c r="G502" s="20" t="s">
        <v>636</v>
      </c>
      <c r="H502" s="20" t="s">
        <v>24</v>
      </c>
    </row>
    <row r="503" spans="1:8">
      <c r="A503" s="15" t="s">
        <v>945</v>
      </c>
      <c r="B503" s="16" t="s">
        <v>69</v>
      </c>
      <c r="C503" s="8" t="s">
        <v>1047</v>
      </c>
      <c r="D503" s="17"/>
      <c r="E503" s="16" t="s">
        <v>11</v>
      </c>
      <c r="F503" s="18">
        <v>174283.19</v>
      </c>
      <c r="G503" s="19" t="s">
        <v>993</v>
      </c>
      <c r="H503" s="19" t="s">
        <v>47</v>
      </c>
    </row>
    <row r="504" spans="1:8">
      <c r="A504" s="15" t="s">
        <v>945</v>
      </c>
      <c r="B504" s="16" t="s">
        <v>69</v>
      </c>
      <c r="C504" s="8" t="s">
        <v>1101</v>
      </c>
      <c r="D504" s="17"/>
      <c r="E504" s="16" t="s">
        <v>11</v>
      </c>
      <c r="F504" s="18">
        <v>175009.29</v>
      </c>
      <c r="G504" s="20" t="s">
        <v>274</v>
      </c>
      <c r="H504" s="20" t="s">
        <v>47</v>
      </c>
    </row>
    <row r="505" spans="1:8">
      <c r="A505" s="15" t="s">
        <v>945</v>
      </c>
      <c r="B505" s="16" t="s">
        <v>69</v>
      </c>
      <c r="C505" s="8" t="s">
        <v>1207</v>
      </c>
      <c r="D505" s="17"/>
      <c r="E505" s="16" t="s">
        <v>11</v>
      </c>
      <c r="F505" s="18">
        <v>175305.55</v>
      </c>
      <c r="G505" s="20" t="s">
        <v>474</v>
      </c>
      <c r="H505" s="20" t="s">
        <v>28</v>
      </c>
    </row>
    <row r="506" spans="1:8">
      <c r="A506" s="15" t="s">
        <v>945</v>
      </c>
      <c r="B506" s="16" t="s">
        <v>69</v>
      </c>
      <c r="C506" s="8" t="s">
        <v>1208</v>
      </c>
      <c r="D506" s="17"/>
      <c r="E506" s="16" t="s">
        <v>11</v>
      </c>
      <c r="F506" s="18">
        <v>175560.43</v>
      </c>
      <c r="G506" s="20" t="s">
        <v>175</v>
      </c>
      <c r="H506" s="20" t="s">
        <v>81</v>
      </c>
    </row>
    <row r="507" spans="1:8">
      <c r="A507" s="16" t="s">
        <v>945</v>
      </c>
      <c r="B507" s="16" t="s">
        <v>69</v>
      </c>
      <c r="C507" s="8" t="s">
        <v>1098</v>
      </c>
      <c r="D507" s="17"/>
      <c r="E507" s="16" t="s">
        <v>11</v>
      </c>
      <c r="F507" s="18">
        <v>176269.47</v>
      </c>
      <c r="G507" s="20" t="s">
        <v>235</v>
      </c>
      <c r="H507" s="20" t="s">
        <v>67</v>
      </c>
    </row>
    <row r="508" spans="1:8">
      <c r="A508" s="15" t="s">
        <v>945</v>
      </c>
      <c r="B508" s="16" t="s">
        <v>69</v>
      </c>
      <c r="C508" s="8" t="s">
        <v>1007</v>
      </c>
      <c r="D508" s="17"/>
      <c r="E508" s="16" t="s">
        <v>11</v>
      </c>
      <c r="F508" s="18">
        <v>176441.91</v>
      </c>
      <c r="G508" s="19" t="s">
        <v>46</v>
      </c>
      <c r="H508" s="19" t="s">
        <v>47</v>
      </c>
    </row>
    <row r="509" spans="1:8">
      <c r="A509" s="15" t="s">
        <v>945</v>
      </c>
      <c r="B509" s="16" t="s">
        <v>69</v>
      </c>
      <c r="C509" s="8" t="s">
        <v>1139</v>
      </c>
      <c r="D509" s="17"/>
      <c r="E509" s="16" t="s">
        <v>11</v>
      </c>
      <c r="F509" s="18">
        <v>176536.24</v>
      </c>
      <c r="G509" s="20" t="s">
        <v>194</v>
      </c>
      <c r="H509" s="20" t="s">
        <v>81</v>
      </c>
    </row>
    <row r="510" spans="1:8">
      <c r="A510" s="15" t="s">
        <v>945</v>
      </c>
      <c r="B510" s="16" t="s">
        <v>69</v>
      </c>
      <c r="C510" s="8" t="s">
        <v>1053</v>
      </c>
      <c r="D510" s="17"/>
      <c r="E510" s="16" t="s">
        <v>11</v>
      </c>
      <c r="F510" s="18">
        <v>177169.2</v>
      </c>
      <c r="G510" s="20" t="s">
        <v>1054</v>
      </c>
      <c r="H510" s="20" t="s">
        <v>47</v>
      </c>
    </row>
    <row r="511" spans="1:8">
      <c r="A511" s="15" t="s">
        <v>945</v>
      </c>
      <c r="B511" s="16" t="s">
        <v>69</v>
      </c>
      <c r="C511" s="8" t="s">
        <v>1089</v>
      </c>
      <c r="D511" s="17"/>
      <c r="E511" s="16" t="s">
        <v>11</v>
      </c>
      <c r="F511" s="18">
        <v>177656.2</v>
      </c>
      <c r="G511" s="20" t="s">
        <v>66</v>
      </c>
      <c r="H511" s="20" t="s">
        <v>67</v>
      </c>
    </row>
    <row r="512" spans="1:8">
      <c r="A512" s="16" t="s">
        <v>945</v>
      </c>
      <c r="B512" s="16" t="s">
        <v>69</v>
      </c>
      <c r="C512" s="8" t="s">
        <v>1209</v>
      </c>
      <c r="D512" s="17"/>
      <c r="E512" s="16" t="s">
        <v>11</v>
      </c>
      <c r="F512" s="18">
        <v>178119.23</v>
      </c>
      <c r="G512" s="20" t="s">
        <v>718</v>
      </c>
      <c r="H512" s="20" t="s">
        <v>24</v>
      </c>
    </row>
    <row r="513" spans="1:8">
      <c r="A513" s="16" t="s">
        <v>945</v>
      </c>
      <c r="B513" s="16" t="s">
        <v>69</v>
      </c>
      <c r="C513" s="8" t="s">
        <v>1210</v>
      </c>
      <c r="D513" s="17"/>
      <c r="E513" s="16" t="s">
        <v>11</v>
      </c>
      <c r="F513" s="18">
        <v>178457.38</v>
      </c>
      <c r="G513" s="20" t="s">
        <v>609</v>
      </c>
      <c r="H513" s="20" t="s">
        <v>81</v>
      </c>
    </row>
    <row r="514" spans="1:8">
      <c r="A514" s="15" t="s">
        <v>945</v>
      </c>
      <c r="B514" s="16" t="s">
        <v>69</v>
      </c>
      <c r="C514" s="8" t="s">
        <v>1211</v>
      </c>
      <c r="D514" s="17"/>
      <c r="E514" s="16" t="s">
        <v>11</v>
      </c>
      <c r="F514" s="18">
        <v>179317.42</v>
      </c>
      <c r="G514" s="20" t="s">
        <v>1107</v>
      </c>
      <c r="H514" s="20" t="s">
        <v>47</v>
      </c>
    </row>
    <row r="515" spans="1:8">
      <c r="A515" s="15" t="s">
        <v>945</v>
      </c>
      <c r="B515" s="16" t="s">
        <v>69</v>
      </c>
      <c r="C515" s="8" t="s">
        <v>1212</v>
      </c>
      <c r="D515" s="17"/>
      <c r="E515" s="16" t="s">
        <v>11</v>
      </c>
      <c r="F515" s="18">
        <v>180079.94</v>
      </c>
      <c r="G515" s="20" t="s">
        <v>356</v>
      </c>
      <c r="H515" s="20" t="s">
        <v>67</v>
      </c>
    </row>
    <row r="516" spans="1:8">
      <c r="A516" s="15" t="s">
        <v>945</v>
      </c>
      <c r="B516" s="16" t="s">
        <v>69</v>
      </c>
      <c r="C516" s="8" t="s">
        <v>1212</v>
      </c>
      <c r="D516" s="17"/>
      <c r="E516" s="16" t="s">
        <v>11</v>
      </c>
      <c r="F516" s="18">
        <v>180358.21</v>
      </c>
      <c r="G516" s="20" t="s">
        <v>356</v>
      </c>
      <c r="H516" s="20" t="s">
        <v>67</v>
      </c>
    </row>
    <row r="517" spans="1:8">
      <c r="A517" s="15" t="s">
        <v>945</v>
      </c>
      <c r="B517" s="16" t="s">
        <v>69</v>
      </c>
      <c r="C517" s="8" t="s">
        <v>1213</v>
      </c>
      <c r="D517" s="17"/>
      <c r="E517" s="16" t="s">
        <v>11</v>
      </c>
      <c r="F517" s="18">
        <v>180891.42</v>
      </c>
      <c r="G517" s="20" t="s">
        <v>74</v>
      </c>
      <c r="H517" s="20" t="s">
        <v>24</v>
      </c>
    </row>
    <row r="518" spans="1:8">
      <c r="A518" s="15" t="s">
        <v>945</v>
      </c>
      <c r="B518" s="16" t="s">
        <v>69</v>
      </c>
      <c r="C518" s="8" t="s">
        <v>1037</v>
      </c>
      <c r="D518" s="17"/>
      <c r="E518" s="16" t="s">
        <v>11</v>
      </c>
      <c r="F518" s="18">
        <v>182801.21</v>
      </c>
      <c r="G518" s="19" t="s">
        <v>1038</v>
      </c>
      <c r="H518" s="19" t="s">
        <v>47</v>
      </c>
    </row>
    <row r="519" spans="1:8">
      <c r="A519" s="15" t="s">
        <v>945</v>
      </c>
      <c r="B519" s="16" t="s">
        <v>69</v>
      </c>
      <c r="C519" s="8" t="s">
        <v>1102</v>
      </c>
      <c r="D519" s="17"/>
      <c r="E519" s="16" t="s">
        <v>11</v>
      </c>
      <c r="F519" s="18">
        <v>183276.56</v>
      </c>
      <c r="G519" s="20" t="s">
        <v>66</v>
      </c>
      <c r="H519" s="20" t="s">
        <v>67</v>
      </c>
    </row>
    <row r="520" spans="1:8">
      <c r="A520" s="16" t="s">
        <v>945</v>
      </c>
      <c r="B520" s="16" t="s">
        <v>69</v>
      </c>
      <c r="C520" s="8" t="s">
        <v>958</v>
      </c>
      <c r="D520" s="17"/>
      <c r="E520" s="16" t="s">
        <v>11</v>
      </c>
      <c r="F520" s="18">
        <v>186568.36</v>
      </c>
      <c r="G520" s="20" t="s">
        <v>462</v>
      </c>
      <c r="H520" s="20" t="s">
        <v>47</v>
      </c>
    </row>
    <row r="521" spans="1:8">
      <c r="A521" s="15" t="s">
        <v>945</v>
      </c>
      <c r="B521" s="16" t="s">
        <v>69</v>
      </c>
      <c r="C521" s="8" t="s">
        <v>1001</v>
      </c>
      <c r="D521" s="17"/>
      <c r="E521" s="16" t="s">
        <v>11</v>
      </c>
      <c r="F521" s="18">
        <v>186666.25</v>
      </c>
      <c r="G521" s="19" t="s">
        <v>993</v>
      </c>
      <c r="H521" s="19" t="s">
        <v>47</v>
      </c>
    </row>
    <row r="522" spans="1:8">
      <c r="A522" s="15" t="s">
        <v>945</v>
      </c>
      <c r="B522" s="16" t="s">
        <v>69</v>
      </c>
      <c r="C522" s="8" t="s">
        <v>955</v>
      </c>
      <c r="D522" s="17"/>
      <c r="E522" s="16" t="s">
        <v>11</v>
      </c>
      <c r="F522" s="18">
        <v>187694.3</v>
      </c>
      <c r="G522" s="20" t="s">
        <v>179</v>
      </c>
      <c r="H522" s="20" t="s">
        <v>81</v>
      </c>
    </row>
    <row r="523" spans="1:8">
      <c r="A523" s="16" t="s">
        <v>945</v>
      </c>
      <c r="B523" s="16" t="s">
        <v>69</v>
      </c>
      <c r="C523" s="8" t="s">
        <v>1214</v>
      </c>
      <c r="D523" s="17"/>
      <c r="E523" s="16" t="s">
        <v>11</v>
      </c>
      <c r="F523" s="18">
        <v>187698.42</v>
      </c>
      <c r="G523" s="20" t="s">
        <v>336</v>
      </c>
      <c r="H523" s="20" t="s">
        <v>24</v>
      </c>
    </row>
    <row r="524" spans="1:8">
      <c r="A524" s="15" t="s">
        <v>945</v>
      </c>
      <c r="B524" s="16" t="s">
        <v>69</v>
      </c>
      <c r="C524" s="8" t="s">
        <v>1019</v>
      </c>
      <c r="D524" s="17"/>
      <c r="E524" s="16" t="s">
        <v>11</v>
      </c>
      <c r="F524" s="18">
        <v>188158.72</v>
      </c>
      <c r="G524" s="20" t="s">
        <v>636</v>
      </c>
      <c r="H524" s="20" t="s">
        <v>24</v>
      </c>
    </row>
    <row r="525" spans="1:8">
      <c r="A525" s="15" t="s">
        <v>945</v>
      </c>
      <c r="B525" s="16" t="s">
        <v>69</v>
      </c>
      <c r="C525" s="8" t="s">
        <v>1215</v>
      </c>
      <c r="D525" s="17"/>
      <c r="E525" s="16" t="s">
        <v>11</v>
      </c>
      <c r="F525" s="18">
        <v>188848.68</v>
      </c>
      <c r="G525" s="20" t="s">
        <v>718</v>
      </c>
      <c r="H525" s="20" t="s">
        <v>24</v>
      </c>
    </row>
    <row r="526" spans="1:8">
      <c r="A526" s="15" t="s">
        <v>945</v>
      </c>
      <c r="B526" s="16" t="s">
        <v>69</v>
      </c>
      <c r="C526" s="8" t="s">
        <v>981</v>
      </c>
      <c r="D526" s="17"/>
      <c r="E526" s="16" t="s">
        <v>11</v>
      </c>
      <c r="F526" s="18">
        <v>188934.21</v>
      </c>
      <c r="G526" s="20" t="s">
        <v>74</v>
      </c>
      <c r="H526" s="20" t="s">
        <v>24</v>
      </c>
    </row>
    <row r="527" spans="1:8">
      <c r="A527" s="15" t="s">
        <v>945</v>
      </c>
      <c r="B527" s="16" t="s">
        <v>69</v>
      </c>
      <c r="C527" s="8" t="s">
        <v>1061</v>
      </c>
      <c r="D527" s="17"/>
      <c r="E527" s="16" t="s">
        <v>11</v>
      </c>
      <c r="F527" s="18">
        <v>191640.12</v>
      </c>
      <c r="G527" s="20" t="s">
        <v>74</v>
      </c>
      <c r="H527" s="20" t="s">
        <v>24</v>
      </c>
    </row>
    <row r="528" spans="1:8">
      <c r="A528" s="15" t="s">
        <v>945</v>
      </c>
      <c r="B528" s="16" t="s">
        <v>69</v>
      </c>
      <c r="C528" s="8" t="s">
        <v>1022</v>
      </c>
      <c r="D528" s="17"/>
      <c r="E528" s="16" t="s">
        <v>11</v>
      </c>
      <c r="F528" s="18">
        <v>191647.28</v>
      </c>
      <c r="G528" s="20" t="s">
        <v>179</v>
      </c>
      <c r="H528" s="20" t="s">
        <v>81</v>
      </c>
    </row>
    <row r="529" ht="45" spans="1:8">
      <c r="A529" s="16" t="s">
        <v>1216</v>
      </c>
      <c r="B529" s="16" t="s">
        <v>61</v>
      </c>
      <c r="C529" s="16" t="s">
        <v>1217</v>
      </c>
      <c r="D529" s="17"/>
      <c r="E529" s="16" t="s">
        <v>11</v>
      </c>
      <c r="F529" s="18">
        <v>194366.27</v>
      </c>
      <c r="G529" s="20" t="s">
        <v>218</v>
      </c>
      <c r="H529" s="20" t="s">
        <v>24</v>
      </c>
    </row>
    <row r="530" spans="1:8">
      <c r="A530" s="15" t="s">
        <v>945</v>
      </c>
      <c r="B530" s="16" t="s">
        <v>69</v>
      </c>
      <c r="C530" s="8" t="s">
        <v>1218</v>
      </c>
      <c r="D530" s="17"/>
      <c r="E530" s="16" t="s">
        <v>11</v>
      </c>
      <c r="F530" s="18">
        <v>195410.62</v>
      </c>
      <c r="G530" s="20" t="s">
        <v>636</v>
      </c>
      <c r="H530" s="20" t="s">
        <v>24</v>
      </c>
    </row>
    <row r="531" spans="1:8">
      <c r="A531" s="15" t="s">
        <v>945</v>
      </c>
      <c r="B531" s="16" t="s">
        <v>69</v>
      </c>
      <c r="C531" s="8" t="s">
        <v>963</v>
      </c>
      <c r="D531" s="17"/>
      <c r="E531" s="16" t="s">
        <v>11</v>
      </c>
      <c r="F531" s="18">
        <v>195451.88</v>
      </c>
      <c r="G531" s="20" t="s">
        <v>74</v>
      </c>
      <c r="H531" s="20" t="s">
        <v>24</v>
      </c>
    </row>
    <row r="532" spans="1:8">
      <c r="A532" s="15" t="s">
        <v>945</v>
      </c>
      <c r="B532" s="16" t="s">
        <v>69</v>
      </c>
      <c r="C532" s="8" t="s">
        <v>1053</v>
      </c>
      <c r="D532" s="17"/>
      <c r="E532" s="16" t="s">
        <v>11</v>
      </c>
      <c r="F532" s="18">
        <v>195602.38</v>
      </c>
      <c r="G532" s="20" t="s">
        <v>1054</v>
      </c>
      <c r="H532" s="20" t="s">
        <v>47</v>
      </c>
    </row>
    <row r="533" spans="1:8">
      <c r="A533" s="15" t="s">
        <v>945</v>
      </c>
      <c r="B533" s="16" t="s">
        <v>69</v>
      </c>
      <c r="C533" s="8" t="s">
        <v>947</v>
      </c>
      <c r="D533" s="17"/>
      <c r="E533" s="16" t="s">
        <v>11</v>
      </c>
      <c r="F533" s="18">
        <v>196470.45</v>
      </c>
      <c r="G533" s="20" t="s">
        <v>948</v>
      </c>
      <c r="H533" s="20" t="s">
        <v>81</v>
      </c>
    </row>
    <row r="534" spans="1:8">
      <c r="A534" s="15" t="s">
        <v>945</v>
      </c>
      <c r="B534" s="16" t="s">
        <v>69</v>
      </c>
      <c r="C534" s="8" t="s">
        <v>1163</v>
      </c>
      <c r="D534" s="17"/>
      <c r="E534" s="16" t="s">
        <v>11</v>
      </c>
      <c r="F534" s="18">
        <v>196782.39</v>
      </c>
      <c r="G534" s="20" t="s">
        <v>35</v>
      </c>
      <c r="H534" s="20" t="s">
        <v>24</v>
      </c>
    </row>
    <row r="535" spans="1:8">
      <c r="A535" s="15" t="s">
        <v>945</v>
      </c>
      <c r="B535" s="16" t="s">
        <v>69</v>
      </c>
      <c r="C535" s="8" t="s">
        <v>1151</v>
      </c>
      <c r="D535" s="17"/>
      <c r="E535" s="16" t="s">
        <v>11</v>
      </c>
      <c r="F535" s="18">
        <v>199212.53</v>
      </c>
      <c r="G535" s="19" t="s">
        <v>1018</v>
      </c>
      <c r="H535" s="19" t="s">
        <v>67</v>
      </c>
    </row>
    <row r="536" spans="1:8">
      <c r="A536" s="15" t="s">
        <v>945</v>
      </c>
      <c r="B536" s="16" t="s">
        <v>69</v>
      </c>
      <c r="C536" s="8" t="s">
        <v>1081</v>
      </c>
      <c r="D536" s="17"/>
      <c r="E536" s="16" t="s">
        <v>11</v>
      </c>
      <c r="F536" s="18">
        <v>200003.07</v>
      </c>
      <c r="G536" s="20" t="s">
        <v>976</v>
      </c>
      <c r="H536" s="20" t="s">
        <v>67</v>
      </c>
    </row>
    <row r="537" spans="1:8">
      <c r="A537" s="16" t="s">
        <v>945</v>
      </c>
      <c r="B537" s="16" t="s">
        <v>69</v>
      </c>
      <c r="C537" s="8" t="s">
        <v>1077</v>
      </c>
      <c r="D537" s="17"/>
      <c r="E537" s="16" t="s">
        <v>11</v>
      </c>
      <c r="F537" s="18">
        <v>201249.77</v>
      </c>
      <c r="G537" s="16" t="s">
        <v>14</v>
      </c>
      <c r="H537" s="16" t="s">
        <v>14</v>
      </c>
    </row>
    <row r="538" spans="1:8">
      <c r="A538" s="15" t="s">
        <v>945</v>
      </c>
      <c r="B538" s="16" t="s">
        <v>69</v>
      </c>
      <c r="C538" s="8" t="s">
        <v>1219</v>
      </c>
      <c r="D538" s="17"/>
      <c r="E538" s="16" t="s">
        <v>11</v>
      </c>
      <c r="F538" s="18">
        <v>202648.58</v>
      </c>
      <c r="G538" s="20" t="s">
        <v>74</v>
      </c>
      <c r="H538" s="20" t="s">
        <v>24</v>
      </c>
    </row>
    <row r="539" spans="1:8">
      <c r="A539" s="15" t="s">
        <v>945</v>
      </c>
      <c r="B539" s="16" t="s">
        <v>69</v>
      </c>
      <c r="C539" s="8" t="s">
        <v>1220</v>
      </c>
      <c r="D539" s="17"/>
      <c r="E539" s="16" t="s">
        <v>11</v>
      </c>
      <c r="F539" s="18">
        <v>204546.48</v>
      </c>
      <c r="G539" s="20" t="s">
        <v>232</v>
      </c>
      <c r="H539" s="20" t="s">
        <v>24</v>
      </c>
    </row>
    <row r="540" spans="1:8">
      <c r="A540" s="15" t="s">
        <v>945</v>
      </c>
      <c r="B540" s="16" t="s">
        <v>69</v>
      </c>
      <c r="C540" s="8" t="s">
        <v>1221</v>
      </c>
      <c r="D540" s="17"/>
      <c r="E540" s="16" t="s">
        <v>11</v>
      </c>
      <c r="F540" s="18">
        <v>205405.94</v>
      </c>
      <c r="G540" s="20" t="s">
        <v>74</v>
      </c>
      <c r="H540" s="20" t="s">
        <v>24</v>
      </c>
    </row>
    <row r="541" spans="1:8">
      <c r="A541" s="16" t="s">
        <v>945</v>
      </c>
      <c r="B541" s="16" t="s">
        <v>69</v>
      </c>
      <c r="C541" s="8" t="s">
        <v>1222</v>
      </c>
      <c r="D541" s="17"/>
      <c r="E541" s="16" t="s">
        <v>11</v>
      </c>
      <c r="F541" s="18">
        <v>206386.91</v>
      </c>
      <c r="G541" s="20" t="s">
        <v>254</v>
      </c>
      <c r="H541" s="20" t="s">
        <v>81</v>
      </c>
    </row>
    <row r="542" spans="1:8">
      <c r="A542" s="15" t="s">
        <v>945</v>
      </c>
      <c r="B542" s="16" t="s">
        <v>69</v>
      </c>
      <c r="C542" s="8" t="s">
        <v>1089</v>
      </c>
      <c r="D542" s="17"/>
      <c r="E542" s="16" t="s">
        <v>11</v>
      </c>
      <c r="F542" s="18">
        <v>208135.44</v>
      </c>
      <c r="G542" s="20" t="s">
        <v>66</v>
      </c>
      <c r="H542" s="20" t="s">
        <v>67</v>
      </c>
    </row>
    <row r="543" spans="1:8">
      <c r="A543" s="15" t="s">
        <v>945</v>
      </c>
      <c r="B543" s="16" t="s">
        <v>69</v>
      </c>
      <c r="C543" s="8" t="s">
        <v>1112</v>
      </c>
      <c r="D543" s="17"/>
      <c r="E543" s="16" t="s">
        <v>11</v>
      </c>
      <c r="F543" s="18">
        <v>209311.56</v>
      </c>
      <c r="G543" s="20" t="s">
        <v>474</v>
      </c>
      <c r="H543" s="20" t="s">
        <v>28</v>
      </c>
    </row>
    <row r="544" spans="1:8">
      <c r="A544" s="16" t="s">
        <v>945</v>
      </c>
      <c r="B544" s="16" t="s">
        <v>69</v>
      </c>
      <c r="C544" s="8" t="s">
        <v>1210</v>
      </c>
      <c r="D544" s="17"/>
      <c r="E544" s="16" t="s">
        <v>11</v>
      </c>
      <c r="F544" s="18">
        <v>210836.68</v>
      </c>
      <c r="G544" s="20" t="s">
        <v>609</v>
      </c>
      <c r="H544" s="20" t="s">
        <v>81</v>
      </c>
    </row>
    <row r="545" spans="1:8">
      <c r="A545" s="15" t="s">
        <v>945</v>
      </c>
      <c r="B545" s="16" t="s">
        <v>69</v>
      </c>
      <c r="C545" s="8" t="s">
        <v>1085</v>
      </c>
      <c r="D545" s="17"/>
      <c r="E545" s="16" t="s">
        <v>11</v>
      </c>
      <c r="F545" s="18">
        <v>210959.81</v>
      </c>
      <c r="G545" s="20" t="s">
        <v>66</v>
      </c>
      <c r="H545" s="20" t="s">
        <v>67</v>
      </c>
    </row>
    <row r="546" spans="1:8">
      <c r="A546" s="15" t="s">
        <v>945</v>
      </c>
      <c r="B546" s="16" t="s">
        <v>69</v>
      </c>
      <c r="C546" s="8" t="s">
        <v>1102</v>
      </c>
      <c r="D546" s="17"/>
      <c r="E546" s="16" t="s">
        <v>11</v>
      </c>
      <c r="F546" s="18">
        <v>211141.19</v>
      </c>
      <c r="G546" s="20" t="s">
        <v>66</v>
      </c>
      <c r="H546" s="20" t="s">
        <v>67</v>
      </c>
    </row>
    <row r="547" spans="1:8">
      <c r="A547" s="15" t="s">
        <v>945</v>
      </c>
      <c r="B547" s="16" t="s">
        <v>69</v>
      </c>
      <c r="C547" s="8" t="s">
        <v>1003</v>
      </c>
      <c r="D547" s="17"/>
      <c r="E547" s="16" t="s">
        <v>11</v>
      </c>
      <c r="F547" s="18">
        <v>212517.55</v>
      </c>
      <c r="G547" s="20" t="s">
        <v>1004</v>
      </c>
      <c r="H547" s="20" t="s">
        <v>81</v>
      </c>
    </row>
    <row r="548" spans="1:8">
      <c r="A548" s="15" t="s">
        <v>945</v>
      </c>
      <c r="B548" s="16" t="s">
        <v>69</v>
      </c>
      <c r="C548" s="8" t="s">
        <v>988</v>
      </c>
      <c r="D548" s="17"/>
      <c r="E548" s="16" t="s">
        <v>11</v>
      </c>
      <c r="F548" s="18">
        <v>212681.87</v>
      </c>
      <c r="G548" s="20" t="s">
        <v>201</v>
      </c>
      <c r="H548" s="20" t="s">
        <v>24</v>
      </c>
    </row>
    <row r="549" spans="1:8">
      <c r="A549" s="16" t="s">
        <v>945</v>
      </c>
      <c r="B549" s="16" t="s">
        <v>69</v>
      </c>
      <c r="C549" s="8" t="s">
        <v>1223</v>
      </c>
      <c r="D549" s="17"/>
      <c r="E549" s="16" t="s">
        <v>11</v>
      </c>
      <c r="F549" s="18">
        <v>213972.72</v>
      </c>
      <c r="G549" s="20" t="s">
        <v>74</v>
      </c>
      <c r="H549" s="20" t="s">
        <v>24</v>
      </c>
    </row>
    <row r="550" spans="1:8">
      <c r="A550" s="15" t="s">
        <v>945</v>
      </c>
      <c r="B550" s="16" t="s">
        <v>69</v>
      </c>
      <c r="C550" s="8" t="s">
        <v>989</v>
      </c>
      <c r="D550" s="17"/>
      <c r="E550" s="16" t="s">
        <v>11</v>
      </c>
      <c r="F550" s="18">
        <v>218387.66</v>
      </c>
      <c r="G550" s="20" t="s">
        <v>616</v>
      </c>
      <c r="H550" s="20" t="s">
        <v>67</v>
      </c>
    </row>
    <row r="551" spans="1:8">
      <c r="A551" s="16" t="s">
        <v>945</v>
      </c>
      <c r="B551" s="16" t="s">
        <v>69</v>
      </c>
      <c r="C551" s="16" t="s">
        <v>998</v>
      </c>
      <c r="D551" s="17"/>
      <c r="E551" s="16" t="s">
        <v>11</v>
      </c>
      <c r="F551" s="18">
        <v>218713.52</v>
      </c>
      <c r="G551" s="20" t="s">
        <v>1009</v>
      </c>
      <c r="H551" s="20" t="s">
        <v>67</v>
      </c>
    </row>
    <row r="552" spans="1:8">
      <c r="A552" s="15" t="s">
        <v>945</v>
      </c>
      <c r="B552" s="16" t="s">
        <v>69</v>
      </c>
      <c r="C552" s="8" t="s">
        <v>1170</v>
      </c>
      <c r="D552" s="17"/>
      <c r="E552" s="16" t="s">
        <v>11</v>
      </c>
      <c r="F552" s="18">
        <v>219026.5</v>
      </c>
      <c r="G552" s="20" t="s">
        <v>66</v>
      </c>
      <c r="H552" s="20" t="s">
        <v>67</v>
      </c>
    </row>
    <row r="553" spans="1:8">
      <c r="A553" s="16" t="s">
        <v>945</v>
      </c>
      <c r="B553" s="16" t="s">
        <v>69</v>
      </c>
      <c r="C553" s="8" t="s">
        <v>1224</v>
      </c>
      <c r="D553" s="17"/>
      <c r="E553" s="16" t="s">
        <v>11</v>
      </c>
      <c r="F553" s="18">
        <v>220391.85</v>
      </c>
      <c r="G553" s="20" t="s">
        <v>462</v>
      </c>
      <c r="H553" s="20" t="s">
        <v>47</v>
      </c>
    </row>
    <row r="554" spans="1:8">
      <c r="A554" s="15" t="s">
        <v>945</v>
      </c>
      <c r="B554" s="16" t="s">
        <v>69</v>
      </c>
      <c r="C554" s="8" t="s">
        <v>1225</v>
      </c>
      <c r="D554" s="17"/>
      <c r="E554" s="16" t="s">
        <v>11</v>
      </c>
      <c r="F554" s="18">
        <v>220452.46</v>
      </c>
      <c r="G554" s="20" t="s">
        <v>609</v>
      </c>
      <c r="H554" s="20" t="s">
        <v>81</v>
      </c>
    </row>
    <row r="555" spans="1:8">
      <c r="A555" s="15" t="s">
        <v>945</v>
      </c>
      <c r="B555" s="16" t="s">
        <v>69</v>
      </c>
      <c r="C555" s="8" t="s">
        <v>1226</v>
      </c>
      <c r="D555" s="17"/>
      <c r="E555" s="16" t="s">
        <v>11</v>
      </c>
      <c r="F555" s="18">
        <v>223198.21</v>
      </c>
      <c r="G555" s="20" t="s">
        <v>50</v>
      </c>
      <c r="H555" s="20" t="s">
        <v>47</v>
      </c>
    </row>
    <row r="556" spans="1:8">
      <c r="A556" s="16" t="s">
        <v>945</v>
      </c>
      <c r="B556" s="16" t="s">
        <v>69</v>
      </c>
      <c r="C556" s="8" t="s">
        <v>1137</v>
      </c>
      <c r="D556" s="17"/>
      <c r="E556" s="16" t="s">
        <v>11</v>
      </c>
      <c r="F556" s="18">
        <v>225346.77</v>
      </c>
      <c r="G556" s="20" t="s">
        <v>1027</v>
      </c>
      <c r="H556" s="20" t="s">
        <v>24</v>
      </c>
    </row>
    <row r="557" spans="1:8">
      <c r="A557" s="15" t="s">
        <v>945</v>
      </c>
      <c r="B557" s="16" t="s">
        <v>69</v>
      </c>
      <c r="C557" s="8" t="s">
        <v>977</v>
      </c>
      <c r="D557" s="17"/>
      <c r="E557" s="16" t="s">
        <v>11</v>
      </c>
      <c r="F557" s="18">
        <v>227765.55</v>
      </c>
      <c r="G557" s="20" t="s">
        <v>66</v>
      </c>
      <c r="H557" s="20" t="s">
        <v>67</v>
      </c>
    </row>
    <row r="558" spans="1:8">
      <c r="A558" s="15" t="s">
        <v>945</v>
      </c>
      <c r="B558" s="16" t="s">
        <v>69</v>
      </c>
      <c r="C558" s="8" t="s">
        <v>1123</v>
      </c>
      <c r="D558" s="17"/>
      <c r="E558" s="16" t="s">
        <v>11</v>
      </c>
      <c r="F558" s="18">
        <v>231731.22</v>
      </c>
      <c r="G558" s="20" t="s">
        <v>43</v>
      </c>
      <c r="H558" s="20" t="s">
        <v>24</v>
      </c>
    </row>
    <row r="559" spans="1:8">
      <c r="A559" s="15" t="s">
        <v>945</v>
      </c>
      <c r="B559" s="16" t="s">
        <v>69</v>
      </c>
      <c r="C559" s="8" t="s">
        <v>947</v>
      </c>
      <c r="D559" s="17"/>
      <c r="E559" s="16" t="s">
        <v>11</v>
      </c>
      <c r="F559" s="18">
        <v>231891.92</v>
      </c>
      <c r="G559" s="20" t="s">
        <v>948</v>
      </c>
      <c r="H559" s="20" t="s">
        <v>81</v>
      </c>
    </row>
    <row r="560" spans="1:8">
      <c r="A560" s="15" t="s">
        <v>945</v>
      </c>
      <c r="B560" s="16" t="s">
        <v>69</v>
      </c>
      <c r="C560" s="8" t="s">
        <v>1078</v>
      </c>
      <c r="D560" s="17"/>
      <c r="E560" s="16" t="s">
        <v>11</v>
      </c>
      <c r="F560" s="18">
        <v>232223.86</v>
      </c>
      <c r="G560" s="20" t="s">
        <v>288</v>
      </c>
      <c r="H560" s="20" t="s">
        <v>24</v>
      </c>
    </row>
    <row r="561" spans="1:8">
      <c r="A561" s="15" t="s">
        <v>945</v>
      </c>
      <c r="B561" s="16" t="s">
        <v>69</v>
      </c>
      <c r="C561" s="8" t="s">
        <v>1081</v>
      </c>
      <c r="D561" s="17"/>
      <c r="E561" s="16" t="s">
        <v>11</v>
      </c>
      <c r="F561" s="18">
        <v>233104.86</v>
      </c>
      <c r="G561" s="16" t="s">
        <v>1082</v>
      </c>
      <c r="H561" s="20" t="s">
        <v>67</v>
      </c>
    </row>
    <row r="562" spans="1:8">
      <c r="A562" s="15" t="s">
        <v>945</v>
      </c>
      <c r="B562" s="16" t="s">
        <v>69</v>
      </c>
      <c r="C562" s="8" t="s">
        <v>1227</v>
      </c>
      <c r="D562" s="17"/>
      <c r="E562" s="16" t="s">
        <v>11</v>
      </c>
      <c r="F562" s="18">
        <v>233787.47</v>
      </c>
      <c r="G562" s="20" t="s">
        <v>66</v>
      </c>
      <c r="H562" s="20" t="s">
        <v>67</v>
      </c>
    </row>
    <row r="563" spans="1:8">
      <c r="A563" s="15" t="s">
        <v>945</v>
      </c>
      <c r="B563" s="16" t="s">
        <v>69</v>
      </c>
      <c r="C563" s="8" t="s">
        <v>984</v>
      </c>
      <c r="D563" s="17"/>
      <c r="E563" s="16" t="s">
        <v>11</v>
      </c>
      <c r="F563" s="18">
        <v>234900.26</v>
      </c>
      <c r="G563" s="20" t="s">
        <v>636</v>
      </c>
      <c r="H563" s="20" t="s">
        <v>24</v>
      </c>
    </row>
    <row r="564" spans="1:8">
      <c r="A564" s="15" t="s">
        <v>945</v>
      </c>
      <c r="B564" s="16" t="s">
        <v>69</v>
      </c>
      <c r="C564" s="8" t="s">
        <v>1228</v>
      </c>
      <c r="D564" s="17"/>
      <c r="E564" s="16" t="s">
        <v>11</v>
      </c>
      <c r="F564" s="18">
        <v>235605.27</v>
      </c>
      <c r="G564" s="19" t="s">
        <v>993</v>
      </c>
      <c r="H564" s="19" t="s">
        <v>47</v>
      </c>
    </row>
    <row r="565" ht="45" spans="1:8">
      <c r="A565" s="16" t="s">
        <v>1216</v>
      </c>
      <c r="B565" s="16" t="s">
        <v>61</v>
      </c>
      <c r="C565" s="16" t="s">
        <v>1217</v>
      </c>
      <c r="D565" s="17"/>
      <c r="E565" s="16" t="s">
        <v>11</v>
      </c>
      <c r="F565" s="18">
        <v>237095.14</v>
      </c>
      <c r="G565" s="20" t="s">
        <v>1229</v>
      </c>
      <c r="H565" s="20" t="s">
        <v>24</v>
      </c>
    </row>
    <row r="566" spans="1:8">
      <c r="A566" s="15" t="s">
        <v>945</v>
      </c>
      <c r="B566" s="16" t="s">
        <v>69</v>
      </c>
      <c r="C566" s="8" t="s">
        <v>1230</v>
      </c>
      <c r="D566" s="17"/>
      <c r="E566" s="16" t="s">
        <v>11</v>
      </c>
      <c r="F566" s="18">
        <v>238634.94</v>
      </c>
      <c r="G566" s="20" t="s">
        <v>288</v>
      </c>
      <c r="H566" s="20" t="s">
        <v>24</v>
      </c>
    </row>
    <row r="567" spans="1:8">
      <c r="A567" s="15" t="s">
        <v>945</v>
      </c>
      <c r="B567" s="16" t="s">
        <v>69</v>
      </c>
      <c r="C567" s="8" t="s">
        <v>1040</v>
      </c>
      <c r="D567" s="17"/>
      <c r="E567" s="16" t="s">
        <v>11</v>
      </c>
      <c r="F567" s="18">
        <v>239857.67</v>
      </c>
      <c r="G567" s="20" t="s">
        <v>277</v>
      </c>
      <c r="H567" s="20" t="s">
        <v>24</v>
      </c>
    </row>
    <row r="568" spans="1:8">
      <c r="A568" s="15" t="s">
        <v>945</v>
      </c>
      <c r="B568" s="16" t="s">
        <v>69</v>
      </c>
      <c r="C568" s="8" t="s">
        <v>1231</v>
      </c>
      <c r="D568" s="17"/>
      <c r="E568" s="16" t="s">
        <v>11</v>
      </c>
      <c r="F568" s="18">
        <v>241632.92</v>
      </c>
      <c r="G568" s="20" t="s">
        <v>356</v>
      </c>
      <c r="H568" s="20" t="s">
        <v>67</v>
      </c>
    </row>
    <row r="569" spans="1:8">
      <c r="A569" s="15" t="s">
        <v>945</v>
      </c>
      <c r="B569" s="16" t="s">
        <v>69</v>
      </c>
      <c r="C569" s="8" t="s">
        <v>955</v>
      </c>
      <c r="D569" s="17"/>
      <c r="E569" s="16" t="s">
        <v>11</v>
      </c>
      <c r="F569" s="18">
        <v>242926.61</v>
      </c>
      <c r="G569" s="20" t="s">
        <v>179</v>
      </c>
      <c r="H569" s="20" t="s">
        <v>81</v>
      </c>
    </row>
    <row r="570" ht="30" spans="1:8">
      <c r="A570" s="15" t="s">
        <v>945</v>
      </c>
      <c r="B570" s="16" t="s">
        <v>69</v>
      </c>
      <c r="C570" s="8" t="s">
        <v>1125</v>
      </c>
      <c r="D570" s="17"/>
      <c r="E570" s="16" t="s">
        <v>11</v>
      </c>
      <c r="F570" s="18">
        <v>243231.95</v>
      </c>
      <c r="G570" s="20" t="s">
        <v>46</v>
      </c>
      <c r="H570" s="20" t="s">
        <v>1058</v>
      </c>
    </row>
    <row r="571" spans="1:8">
      <c r="A571" s="15" t="s">
        <v>945</v>
      </c>
      <c r="B571" s="16" t="s">
        <v>69</v>
      </c>
      <c r="C571" s="8" t="s">
        <v>1021</v>
      </c>
      <c r="D571" s="17"/>
      <c r="E571" s="16" t="s">
        <v>11</v>
      </c>
      <c r="F571" s="18">
        <v>243294.71</v>
      </c>
      <c r="G571" s="20" t="s">
        <v>23</v>
      </c>
      <c r="H571" s="20" t="s">
        <v>24</v>
      </c>
    </row>
    <row r="572" spans="1:8">
      <c r="A572" s="15" t="s">
        <v>945</v>
      </c>
      <c r="B572" s="16" t="s">
        <v>69</v>
      </c>
      <c r="C572" s="8" t="s">
        <v>1120</v>
      </c>
      <c r="D572" s="17"/>
      <c r="E572" s="16" t="s">
        <v>11</v>
      </c>
      <c r="F572" s="18">
        <v>244940.02</v>
      </c>
      <c r="G572" s="19" t="s">
        <v>274</v>
      </c>
      <c r="H572" s="19" t="s">
        <v>47</v>
      </c>
    </row>
    <row r="573" spans="1:8">
      <c r="A573" s="15" t="s">
        <v>945</v>
      </c>
      <c r="B573" s="16" t="s">
        <v>69</v>
      </c>
      <c r="C573" s="8" t="s">
        <v>1043</v>
      </c>
      <c r="D573" s="17"/>
      <c r="E573" s="16" t="s">
        <v>11</v>
      </c>
      <c r="F573" s="18">
        <v>245052.44</v>
      </c>
      <c r="G573" s="20" t="s">
        <v>232</v>
      </c>
      <c r="H573" s="20" t="s">
        <v>24</v>
      </c>
    </row>
    <row r="574" spans="1:8">
      <c r="A574" s="15" t="s">
        <v>945</v>
      </c>
      <c r="B574" s="16" t="s">
        <v>69</v>
      </c>
      <c r="C574" s="8" t="s">
        <v>1053</v>
      </c>
      <c r="D574" s="17"/>
      <c r="E574" s="16" t="s">
        <v>11</v>
      </c>
      <c r="F574" s="18">
        <v>246440.87</v>
      </c>
      <c r="G574" s="20" t="s">
        <v>1054</v>
      </c>
      <c r="H574" s="20" t="s">
        <v>47</v>
      </c>
    </row>
    <row r="575" spans="1:8">
      <c r="A575" s="15" t="s">
        <v>945</v>
      </c>
      <c r="B575" s="16" t="s">
        <v>69</v>
      </c>
      <c r="C575" s="8" t="s">
        <v>1105</v>
      </c>
      <c r="D575" s="17"/>
      <c r="E575" s="16" t="s">
        <v>11</v>
      </c>
      <c r="F575" s="18">
        <v>246459.44</v>
      </c>
      <c r="G575" s="20" t="s">
        <v>50</v>
      </c>
      <c r="H575" s="20" t="s">
        <v>47</v>
      </c>
    </row>
    <row r="576" spans="1:8">
      <c r="A576" s="15" t="s">
        <v>945</v>
      </c>
      <c r="B576" s="16" t="s">
        <v>69</v>
      </c>
      <c r="C576" s="8" t="s">
        <v>1196</v>
      </c>
      <c r="D576" s="17"/>
      <c r="E576" s="16" t="s">
        <v>11</v>
      </c>
      <c r="F576" s="18">
        <v>249853.3</v>
      </c>
      <c r="G576" s="20" t="s">
        <v>482</v>
      </c>
      <c r="H576" s="20" t="s">
        <v>81</v>
      </c>
    </row>
    <row r="577" spans="1:8">
      <c r="A577" s="16" t="s">
        <v>945</v>
      </c>
      <c r="B577" s="16" t="s">
        <v>69</v>
      </c>
      <c r="C577" s="8" t="s">
        <v>1057</v>
      </c>
      <c r="D577" s="17"/>
      <c r="E577" s="16" t="s">
        <v>11</v>
      </c>
      <c r="F577" s="18">
        <v>250222.23</v>
      </c>
      <c r="G577" s="20" t="s">
        <v>36</v>
      </c>
      <c r="H577" s="20" t="s">
        <v>47</v>
      </c>
    </row>
    <row r="578" spans="1:8">
      <c r="A578" s="15" t="s">
        <v>945</v>
      </c>
      <c r="B578" s="16" t="s">
        <v>69</v>
      </c>
      <c r="C578" s="8" t="s">
        <v>1232</v>
      </c>
      <c r="D578" s="17"/>
      <c r="E578" s="16" t="s">
        <v>11</v>
      </c>
      <c r="F578" s="18">
        <v>250934.34</v>
      </c>
      <c r="G578" s="20" t="s">
        <v>232</v>
      </c>
      <c r="H578" s="20" t="s">
        <v>24</v>
      </c>
    </row>
    <row r="579" spans="1:8">
      <c r="A579" s="15" t="s">
        <v>945</v>
      </c>
      <c r="B579" s="16" t="s">
        <v>69</v>
      </c>
      <c r="C579" s="8" t="s">
        <v>1233</v>
      </c>
      <c r="D579" s="17"/>
      <c r="E579" s="16" t="s">
        <v>11</v>
      </c>
      <c r="F579" s="18">
        <v>252241.9</v>
      </c>
      <c r="G579" s="19" t="s">
        <v>1234</v>
      </c>
      <c r="H579" s="19" t="s">
        <v>24</v>
      </c>
    </row>
    <row r="580" spans="1:8">
      <c r="A580" s="15" t="s">
        <v>945</v>
      </c>
      <c r="B580" s="16" t="s">
        <v>69</v>
      </c>
      <c r="C580" s="8" t="s">
        <v>954</v>
      </c>
      <c r="D580" s="17"/>
      <c r="E580" s="16" t="s">
        <v>11</v>
      </c>
      <c r="F580" s="18">
        <v>252898.36</v>
      </c>
      <c r="G580" s="20" t="s">
        <v>36</v>
      </c>
      <c r="H580" s="20" t="s">
        <v>36</v>
      </c>
    </row>
    <row r="581" spans="1:8">
      <c r="A581" s="15" t="s">
        <v>945</v>
      </c>
      <c r="B581" s="16" t="s">
        <v>69</v>
      </c>
      <c r="C581" s="8" t="s">
        <v>1235</v>
      </c>
      <c r="D581" s="17"/>
      <c r="E581" s="16" t="s">
        <v>11</v>
      </c>
      <c r="F581" s="18">
        <v>253517.63</v>
      </c>
      <c r="G581" s="19" t="s">
        <v>141</v>
      </c>
      <c r="H581" s="19" t="s">
        <v>47</v>
      </c>
    </row>
    <row r="582" spans="1:8">
      <c r="A582" s="15" t="s">
        <v>945</v>
      </c>
      <c r="B582" s="16" t="s">
        <v>69</v>
      </c>
      <c r="C582" s="8" t="s">
        <v>1236</v>
      </c>
      <c r="D582" s="17"/>
      <c r="E582" s="16" t="s">
        <v>11</v>
      </c>
      <c r="F582" s="18">
        <v>254068.98</v>
      </c>
      <c r="G582" s="20" t="s">
        <v>36</v>
      </c>
      <c r="H582" s="20" t="s">
        <v>47</v>
      </c>
    </row>
    <row r="583" spans="1:8">
      <c r="A583" s="15" t="s">
        <v>945</v>
      </c>
      <c r="B583" s="16" t="s">
        <v>69</v>
      </c>
      <c r="C583" s="8" t="s">
        <v>1237</v>
      </c>
      <c r="D583" s="17"/>
      <c r="E583" s="16" t="s">
        <v>11</v>
      </c>
      <c r="F583" s="18">
        <v>254442.1</v>
      </c>
      <c r="G583" s="20" t="s">
        <v>616</v>
      </c>
      <c r="H583" s="20" t="s">
        <v>67</v>
      </c>
    </row>
    <row r="584" spans="1:8">
      <c r="A584" s="16" t="s">
        <v>945</v>
      </c>
      <c r="B584" s="16" t="s">
        <v>69</v>
      </c>
      <c r="C584" s="8" t="s">
        <v>1098</v>
      </c>
      <c r="D584" s="17"/>
      <c r="E584" s="16" t="s">
        <v>11</v>
      </c>
      <c r="F584" s="18">
        <v>255000</v>
      </c>
      <c r="G584" s="20" t="s">
        <v>235</v>
      </c>
      <c r="H584" s="20" t="s">
        <v>67</v>
      </c>
    </row>
    <row r="585" spans="1:8">
      <c r="A585" s="17"/>
      <c r="B585" s="16" t="s">
        <v>138</v>
      </c>
      <c r="C585" s="16" t="s">
        <v>1238</v>
      </c>
      <c r="D585" s="17"/>
      <c r="E585" s="16" t="s">
        <v>11</v>
      </c>
      <c r="F585" s="18">
        <v>255889.15</v>
      </c>
      <c r="G585" s="20" t="s">
        <v>78</v>
      </c>
      <c r="H585" s="20" t="s">
        <v>1239</v>
      </c>
    </row>
    <row r="586" spans="1:8">
      <c r="A586" s="16" t="s">
        <v>945</v>
      </c>
      <c r="B586" s="16" t="s">
        <v>69</v>
      </c>
      <c r="C586" s="8" t="s">
        <v>1069</v>
      </c>
      <c r="D586" s="17"/>
      <c r="E586" s="16" t="s">
        <v>11</v>
      </c>
      <c r="F586" s="18">
        <v>257732.25</v>
      </c>
      <c r="G586" s="20" t="s">
        <v>1070</v>
      </c>
      <c r="H586" s="20" t="s">
        <v>47</v>
      </c>
    </row>
    <row r="587" spans="1:8">
      <c r="A587" s="16" t="s">
        <v>945</v>
      </c>
      <c r="B587" s="16" t="s">
        <v>69</v>
      </c>
      <c r="C587" s="8" t="s">
        <v>1137</v>
      </c>
      <c r="D587" s="17"/>
      <c r="E587" s="16" t="s">
        <v>11</v>
      </c>
      <c r="F587" s="18">
        <v>258492.14</v>
      </c>
      <c r="G587" s="20" t="s">
        <v>1027</v>
      </c>
      <c r="H587" s="20" t="s">
        <v>24</v>
      </c>
    </row>
    <row r="588" spans="1:8">
      <c r="A588" s="15" t="s">
        <v>945</v>
      </c>
      <c r="B588" s="16" t="s">
        <v>69</v>
      </c>
      <c r="C588" s="8" t="s">
        <v>1153</v>
      </c>
      <c r="D588" s="17"/>
      <c r="E588" s="16" t="s">
        <v>11</v>
      </c>
      <c r="F588" s="18">
        <v>259182.4</v>
      </c>
      <c r="G588" s="20" t="s">
        <v>66</v>
      </c>
      <c r="H588" s="20" t="s">
        <v>24</v>
      </c>
    </row>
    <row r="589" spans="1:8">
      <c r="A589" s="15" t="s">
        <v>945</v>
      </c>
      <c r="B589" s="16" t="s">
        <v>69</v>
      </c>
      <c r="C589" s="8" t="s">
        <v>1053</v>
      </c>
      <c r="D589" s="17"/>
      <c r="E589" s="16" t="s">
        <v>11</v>
      </c>
      <c r="F589" s="18">
        <v>262051.03</v>
      </c>
      <c r="G589" s="20" t="s">
        <v>1054</v>
      </c>
      <c r="H589" s="20" t="s">
        <v>47</v>
      </c>
    </row>
    <row r="590" spans="1:8">
      <c r="A590" s="15" t="s">
        <v>945</v>
      </c>
      <c r="B590" s="16" t="s">
        <v>69</v>
      </c>
      <c r="C590" s="8" t="s">
        <v>1021</v>
      </c>
      <c r="D590" s="17"/>
      <c r="E590" s="16" t="s">
        <v>11</v>
      </c>
      <c r="F590" s="18">
        <v>263918.31</v>
      </c>
      <c r="G590" s="20" t="s">
        <v>23</v>
      </c>
      <c r="H590" s="20" t="s">
        <v>24</v>
      </c>
    </row>
    <row r="591" spans="1:8">
      <c r="A591" s="16" t="s">
        <v>945</v>
      </c>
      <c r="B591" s="16" t="s">
        <v>69</v>
      </c>
      <c r="C591" s="16" t="s">
        <v>978</v>
      </c>
      <c r="D591" s="17"/>
      <c r="E591" s="16" t="s">
        <v>11</v>
      </c>
      <c r="F591" s="18">
        <v>264554.22</v>
      </c>
      <c r="G591" s="20" t="s">
        <v>586</v>
      </c>
      <c r="H591" s="20" t="s">
        <v>81</v>
      </c>
    </row>
    <row r="592" spans="1:8">
      <c r="A592" s="16" t="s">
        <v>945</v>
      </c>
      <c r="B592" s="16" t="s">
        <v>69</v>
      </c>
      <c r="C592" s="8" t="s">
        <v>1240</v>
      </c>
      <c r="D592" s="17"/>
      <c r="E592" s="16" t="s">
        <v>11</v>
      </c>
      <c r="F592" s="18">
        <v>265886.92</v>
      </c>
      <c r="G592" s="20" t="s">
        <v>1027</v>
      </c>
      <c r="H592" s="20" t="s">
        <v>24</v>
      </c>
    </row>
    <row r="593" spans="1:8">
      <c r="A593" s="15" t="s">
        <v>945</v>
      </c>
      <c r="B593" s="16" t="s">
        <v>69</v>
      </c>
      <c r="C593" s="8" t="s">
        <v>951</v>
      </c>
      <c r="D593" s="17"/>
      <c r="E593" s="16" t="s">
        <v>11</v>
      </c>
      <c r="F593" s="18">
        <v>266486.33</v>
      </c>
      <c r="G593" s="20" t="s">
        <v>74</v>
      </c>
      <c r="H593" s="20" t="s">
        <v>24</v>
      </c>
    </row>
    <row r="594" spans="1:8">
      <c r="A594" s="15" t="s">
        <v>945</v>
      </c>
      <c r="B594" s="16" t="s">
        <v>69</v>
      </c>
      <c r="C594" s="8" t="s">
        <v>1241</v>
      </c>
      <c r="D594" s="17"/>
      <c r="E594" s="16" t="s">
        <v>11</v>
      </c>
      <c r="F594" s="18">
        <v>268596.77</v>
      </c>
      <c r="G594" s="20" t="s">
        <v>972</v>
      </c>
      <c r="H594" s="20" t="s">
        <v>24</v>
      </c>
    </row>
    <row r="595" spans="1:8">
      <c r="A595" s="15" t="s">
        <v>945</v>
      </c>
      <c r="B595" s="16" t="s">
        <v>69</v>
      </c>
      <c r="C595" s="8" t="s">
        <v>1242</v>
      </c>
      <c r="D595" s="17"/>
      <c r="E595" s="16" t="s">
        <v>11</v>
      </c>
      <c r="F595" s="18">
        <v>269286.64</v>
      </c>
      <c r="G595" s="20" t="s">
        <v>1243</v>
      </c>
      <c r="H595" s="20" t="s">
        <v>47</v>
      </c>
    </row>
    <row r="596" spans="1:8">
      <c r="A596" s="15" t="s">
        <v>945</v>
      </c>
      <c r="B596" s="16" t="s">
        <v>69</v>
      </c>
      <c r="C596" s="8" t="s">
        <v>988</v>
      </c>
      <c r="D596" s="17"/>
      <c r="E596" s="16" t="s">
        <v>11</v>
      </c>
      <c r="F596" s="18">
        <v>269652.89</v>
      </c>
      <c r="G596" s="20" t="s">
        <v>201</v>
      </c>
      <c r="H596" s="20" t="s">
        <v>24</v>
      </c>
    </row>
    <row r="597" spans="1:8">
      <c r="A597" s="15" t="s">
        <v>945</v>
      </c>
      <c r="B597" s="16" t="s">
        <v>69</v>
      </c>
      <c r="C597" s="8" t="s">
        <v>1244</v>
      </c>
      <c r="D597" s="17"/>
      <c r="E597" s="16" t="s">
        <v>11</v>
      </c>
      <c r="F597" s="18">
        <v>269759.92</v>
      </c>
      <c r="G597" s="20" t="s">
        <v>962</v>
      </c>
      <c r="H597" s="20" t="s">
        <v>47</v>
      </c>
    </row>
    <row r="598" spans="1:8">
      <c r="A598" s="16" t="s">
        <v>945</v>
      </c>
      <c r="B598" s="16" t="s">
        <v>69</v>
      </c>
      <c r="C598" s="8" t="s">
        <v>979</v>
      </c>
      <c r="D598" s="17"/>
      <c r="E598" s="16" t="s">
        <v>11</v>
      </c>
      <c r="F598" s="18">
        <v>270331.46</v>
      </c>
      <c r="G598" s="20" t="s">
        <v>336</v>
      </c>
      <c r="H598" s="20" t="s">
        <v>24</v>
      </c>
    </row>
    <row r="599" spans="1:8">
      <c r="A599" s="16" t="s">
        <v>945</v>
      </c>
      <c r="B599" s="16" t="s">
        <v>69</v>
      </c>
      <c r="C599" s="8" t="s">
        <v>1201</v>
      </c>
      <c r="D599" s="17"/>
      <c r="E599" s="16" t="s">
        <v>11</v>
      </c>
      <c r="F599" s="18">
        <v>278629.13</v>
      </c>
      <c r="G599" s="20" t="s">
        <v>23</v>
      </c>
      <c r="H599" s="20" t="s">
        <v>24</v>
      </c>
    </row>
    <row r="600" spans="1:8">
      <c r="A600" s="16" t="s">
        <v>945</v>
      </c>
      <c r="B600" s="16" t="s">
        <v>69</v>
      </c>
      <c r="C600" s="8" t="s">
        <v>1127</v>
      </c>
      <c r="D600" s="17"/>
      <c r="E600" s="16" t="s">
        <v>11</v>
      </c>
      <c r="F600" s="18">
        <v>281298.28</v>
      </c>
      <c r="G600" s="20" t="s">
        <v>31</v>
      </c>
      <c r="H600" s="20" t="s">
        <v>24</v>
      </c>
    </row>
    <row r="601" spans="1:8">
      <c r="A601" s="15" t="s">
        <v>945</v>
      </c>
      <c r="B601" s="16" t="s">
        <v>69</v>
      </c>
      <c r="C601" s="8" t="s">
        <v>1112</v>
      </c>
      <c r="D601" s="17"/>
      <c r="E601" s="16" t="s">
        <v>11</v>
      </c>
      <c r="F601" s="18">
        <v>282168.3</v>
      </c>
      <c r="G601" s="20" t="s">
        <v>474</v>
      </c>
      <c r="H601" s="20" t="s">
        <v>28</v>
      </c>
    </row>
    <row r="602" spans="1:8">
      <c r="A602" s="16" t="s">
        <v>945</v>
      </c>
      <c r="B602" s="16" t="s">
        <v>69</v>
      </c>
      <c r="C602" s="16" t="s">
        <v>1245</v>
      </c>
      <c r="D602" s="17"/>
      <c r="E602" s="16" t="s">
        <v>11</v>
      </c>
      <c r="F602" s="18">
        <v>285994.21</v>
      </c>
      <c r="G602" s="20" t="s">
        <v>74</v>
      </c>
      <c r="H602" s="20" t="s">
        <v>24</v>
      </c>
    </row>
    <row r="603" spans="1:8">
      <c r="A603" s="15" t="s">
        <v>945</v>
      </c>
      <c r="B603" s="16" t="s">
        <v>69</v>
      </c>
      <c r="C603" s="8" t="s">
        <v>1043</v>
      </c>
      <c r="D603" s="17"/>
      <c r="E603" s="16" t="s">
        <v>11</v>
      </c>
      <c r="F603" s="18">
        <v>289410.59</v>
      </c>
      <c r="G603" s="20" t="s">
        <v>232</v>
      </c>
      <c r="H603" s="20" t="s">
        <v>24</v>
      </c>
    </row>
    <row r="604" spans="1:8">
      <c r="A604" s="15" t="s">
        <v>945</v>
      </c>
      <c r="B604" s="16" t="s">
        <v>69</v>
      </c>
      <c r="C604" s="8" t="s">
        <v>1246</v>
      </c>
      <c r="D604" s="17"/>
      <c r="E604" s="16" t="s">
        <v>11</v>
      </c>
      <c r="F604" s="18">
        <v>292181.99</v>
      </c>
      <c r="G604" s="20" t="s">
        <v>718</v>
      </c>
      <c r="H604" s="20" t="s">
        <v>24</v>
      </c>
    </row>
    <row r="605" spans="1:8">
      <c r="A605" s="15" t="s">
        <v>945</v>
      </c>
      <c r="B605" s="16" t="s">
        <v>69</v>
      </c>
      <c r="C605" s="8" t="s">
        <v>1050</v>
      </c>
      <c r="D605" s="17"/>
      <c r="E605" s="16" t="s">
        <v>11</v>
      </c>
      <c r="F605" s="18">
        <v>295863.81</v>
      </c>
      <c r="G605" s="20" t="s">
        <v>609</v>
      </c>
      <c r="H605" s="20" t="s">
        <v>81</v>
      </c>
    </row>
    <row r="606" spans="1:8">
      <c r="A606" s="15" t="s">
        <v>945</v>
      </c>
      <c r="B606" s="16" t="s">
        <v>69</v>
      </c>
      <c r="C606" s="8" t="s">
        <v>1181</v>
      </c>
      <c r="D606" s="17"/>
      <c r="E606" s="16" t="s">
        <v>11</v>
      </c>
      <c r="F606" s="18">
        <v>300173.1</v>
      </c>
      <c r="G606" s="20" t="s">
        <v>1070</v>
      </c>
      <c r="H606" s="20" t="s">
        <v>47</v>
      </c>
    </row>
    <row r="607" spans="1:8">
      <c r="A607" s="15" t="s">
        <v>945</v>
      </c>
      <c r="B607" s="16" t="s">
        <v>69</v>
      </c>
      <c r="C607" s="8" t="s">
        <v>1000</v>
      </c>
      <c r="D607" s="17"/>
      <c r="E607" s="16" t="s">
        <v>11</v>
      </c>
      <c r="F607" s="18">
        <v>301274.2</v>
      </c>
      <c r="G607" s="20" t="s">
        <v>325</v>
      </c>
      <c r="H607" s="20" t="s">
        <v>81</v>
      </c>
    </row>
    <row r="608" spans="1:8">
      <c r="A608" s="16" t="s">
        <v>945</v>
      </c>
      <c r="B608" s="16" t="s">
        <v>69</v>
      </c>
      <c r="C608" s="8" t="s">
        <v>1247</v>
      </c>
      <c r="D608" s="17"/>
      <c r="E608" s="16" t="s">
        <v>11</v>
      </c>
      <c r="F608" s="18">
        <v>302845.21</v>
      </c>
      <c r="G608" s="20" t="s">
        <v>74</v>
      </c>
      <c r="H608" s="20" t="s">
        <v>24</v>
      </c>
    </row>
    <row r="609" spans="1:8">
      <c r="A609" s="15" t="s">
        <v>945</v>
      </c>
      <c r="B609" s="16" t="s">
        <v>69</v>
      </c>
      <c r="C609" s="8" t="s">
        <v>1047</v>
      </c>
      <c r="D609" s="17"/>
      <c r="E609" s="16" t="s">
        <v>11</v>
      </c>
      <c r="F609" s="18">
        <v>305000</v>
      </c>
      <c r="G609" s="19" t="s">
        <v>993</v>
      </c>
      <c r="H609" s="19" t="s">
        <v>47</v>
      </c>
    </row>
    <row r="610" spans="1:8">
      <c r="A610" s="15" t="s">
        <v>945</v>
      </c>
      <c r="B610" s="16" t="s">
        <v>69</v>
      </c>
      <c r="C610" s="8" t="s">
        <v>1050</v>
      </c>
      <c r="D610" s="17"/>
      <c r="E610" s="16" t="s">
        <v>11</v>
      </c>
      <c r="F610" s="18">
        <v>305867.68</v>
      </c>
      <c r="G610" s="20" t="s">
        <v>609</v>
      </c>
      <c r="H610" s="20" t="s">
        <v>81</v>
      </c>
    </row>
    <row r="611" spans="1:8">
      <c r="A611" s="15" t="s">
        <v>945</v>
      </c>
      <c r="B611" s="16" t="s">
        <v>69</v>
      </c>
      <c r="C611" s="8" t="s">
        <v>1123</v>
      </c>
      <c r="D611" s="17"/>
      <c r="E611" s="16" t="s">
        <v>11</v>
      </c>
      <c r="F611" s="18">
        <v>306043.83</v>
      </c>
      <c r="G611" s="20" t="s">
        <v>43</v>
      </c>
      <c r="H611" s="20" t="s">
        <v>24</v>
      </c>
    </row>
    <row r="612" spans="1:8">
      <c r="A612" s="16" t="s">
        <v>945</v>
      </c>
      <c r="B612" s="16" t="s">
        <v>69</v>
      </c>
      <c r="C612" s="8" t="s">
        <v>1248</v>
      </c>
      <c r="D612" s="17"/>
      <c r="E612" s="16" t="s">
        <v>11</v>
      </c>
      <c r="F612" s="18">
        <v>306052.47</v>
      </c>
      <c r="G612" s="20" t="s">
        <v>254</v>
      </c>
      <c r="H612" s="20" t="s">
        <v>36</v>
      </c>
    </row>
    <row r="613" spans="1:8">
      <c r="A613" s="16" t="s">
        <v>945</v>
      </c>
      <c r="B613" s="16" t="s">
        <v>69</v>
      </c>
      <c r="C613" s="8" t="s">
        <v>1149</v>
      </c>
      <c r="D613" s="17"/>
      <c r="E613" s="16" t="s">
        <v>11</v>
      </c>
      <c r="F613" s="18">
        <v>307679.66</v>
      </c>
      <c r="G613" s="20" t="s">
        <v>1143</v>
      </c>
      <c r="H613" s="20" t="s">
        <v>47</v>
      </c>
    </row>
    <row r="614" spans="1:8">
      <c r="A614" s="15" t="s">
        <v>945</v>
      </c>
      <c r="B614" s="16" t="s">
        <v>69</v>
      </c>
      <c r="C614" s="8" t="s">
        <v>1061</v>
      </c>
      <c r="D614" s="17"/>
      <c r="E614" s="16" t="s">
        <v>11</v>
      </c>
      <c r="F614" s="18">
        <v>307879.34</v>
      </c>
      <c r="G614" s="20" t="s">
        <v>74</v>
      </c>
      <c r="H614" s="20" t="s">
        <v>24</v>
      </c>
    </row>
    <row r="615" spans="1:8">
      <c r="A615" s="15" t="s">
        <v>945</v>
      </c>
      <c r="B615" s="16" t="s">
        <v>69</v>
      </c>
      <c r="C615" s="8" t="s">
        <v>1120</v>
      </c>
      <c r="D615" s="17"/>
      <c r="E615" s="16" t="s">
        <v>11</v>
      </c>
      <c r="F615" s="18">
        <v>308176.75</v>
      </c>
      <c r="G615" s="19" t="s">
        <v>274</v>
      </c>
      <c r="H615" s="19" t="s">
        <v>47</v>
      </c>
    </row>
    <row r="616" spans="1:8">
      <c r="A616" s="15" t="s">
        <v>945</v>
      </c>
      <c r="B616" s="16" t="s">
        <v>69</v>
      </c>
      <c r="C616" s="8" t="s">
        <v>949</v>
      </c>
      <c r="D616" s="17"/>
      <c r="E616" s="16" t="s">
        <v>11</v>
      </c>
      <c r="F616" s="18">
        <v>313800.66</v>
      </c>
      <c r="G616" s="20" t="s">
        <v>950</v>
      </c>
      <c r="H616" s="20" t="s">
        <v>81</v>
      </c>
    </row>
    <row r="617" spans="1:8">
      <c r="A617" s="16" t="s">
        <v>945</v>
      </c>
      <c r="B617" s="16" t="s">
        <v>69</v>
      </c>
      <c r="C617" s="8" t="s">
        <v>1137</v>
      </c>
      <c r="D617" s="17"/>
      <c r="E617" s="16" t="s">
        <v>11</v>
      </c>
      <c r="F617" s="18">
        <v>316934.57</v>
      </c>
      <c r="G617" s="20" t="s">
        <v>1027</v>
      </c>
      <c r="H617" s="20" t="s">
        <v>24</v>
      </c>
    </row>
    <row r="618" ht="30" spans="1:8">
      <c r="A618" s="15" t="s">
        <v>945</v>
      </c>
      <c r="B618" s="16" t="s">
        <v>69</v>
      </c>
      <c r="C618" s="8" t="s">
        <v>1249</v>
      </c>
      <c r="D618" s="17"/>
      <c r="E618" s="16" t="s">
        <v>11</v>
      </c>
      <c r="F618" s="18">
        <v>319532.54</v>
      </c>
      <c r="G618" s="20" t="s">
        <v>271</v>
      </c>
      <c r="H618" s="20" t="s">
        <v>1058</v>
      </c>
    </row>
    <row r="619" spans="1:8">
      <c r="A619" s="15" t="s">
        <v>945</v>
      </c>
      <c r="B619" s="16" t="s">
        <v>69</v>
      </c>
      <c r="C619" s="8" t="s">
        <v>1250</v>
      </c>
      <c r="D619" s="17"/>
      <c r="E619" s="16" t="s">
        <v>11</v>
      </c>
      <c r="F619" s="18">
        <v>324009.21</v>
      </c>
      <c r="G619" s="19" t="s">
        <v>1038</v>
      </c>
      <c r="H619" s="19" t="s">
        <v>47</v>
      </c>
    </row>
    <row r="620" spans="1:8">
      <c r="A620" s="15" t="s">
        <v>945</v>
      </c>
      <c r="B620" s="16" t="s">
        <v>69</v>
      </c>
      <c r="C620" s="8" t="s">
        <v>1007</v>
      </c>
      <c r="D620" s="17"/>
      <c r="E620" s="16" t="s">
        <v>11</v>
      </c>
      <c r="F620" s="18">
        <v>326648.67</v>
      </c>
      <c r="G620" s="19" t="s">
        <v>46</v>
      </c>
      <c r="H620" s="19" t="s">
        <v>47</v>
      </c>
    </row>
    <row r="621" spans="1:8">
      <c r="A621" s="15" t="s">
        <v>945</v>
      </c>
      <c r="B621" s="16" t="s">
        <v>69</v>
      </c>
      <c r="C621" s="8" t="s">
        <v>946</v>
      </c>
      <c r="D621" s="17"/>
      <c r="E621" s="16" t="s">
        <v>11</v>
      </c>
      <c r="F621" s="18">
        <v>326860.69</v>
      </c>
      <c r="G621" s="19" t="s">
        <v>543</v>
      </c>
      <c r="H621" s="19" t="s">
        <v>81</v>
      </c>
    </row>
    <row r="622" ht="30" spans="1:8">
      <c r="A622" s="15" t="s">
        <v>945</v>
      </c>
      <c r="B622" s="16" t="s">
        <v>69</v>
      </c>
      <c r="C622" s="8" t="s">
        <v>1251</v>
      </c>
      <c r="D622" s="17"/>
      <c r="E622" s="16" t="s">
        <v>11</v>
      </c>
      <c r="F622" s="18">
        <v>330804.64</v>
      </c>
      <c r="G622" s="20" t="s">
        <v>66</v>
      </c>
      <c r="H622" s="20" t="s">
        <v>1058</v>
      </c>
    </row>
    <row r="623" ht="45" spans="1:8">
      <c r="A623" s="16" t="s">
        <v>1216</v>
      </c>
      <c r="B623" s="16" t="s">
        <v>61</v>
      </c>
      <c r="C623" s="16" t="s">
        <v>1217</v>
      </c>
      <c r="D623" s="17"/>
      <c r="E623" s="16" t="s">
        <v>11</v>
      </c>
      <c r="F623" s="18">
        <v>333651.31</v>
      </c>
      <c r="G623" s="20" t="s">
        <v>31</v>
      </c>
      <c r="H623" s="20" t="s">
        <v>24</v>
      </c>
    </row>
    <row r="624" spans="1:8">
      <c r="A624" s="15" t="s">
        <v>945</v>
      </c>
      <c r="B624" s="16" t="s">
        <v>69</v>
      </c>
      <c r="C624" s="8" t="s">
        <v>1002</v>
      </c>
      <c r="D624" s="17"/>
      <c r="E624" s="16" t="s">
        <v>11</v>
      </c>
      <c r="F624" s="18">
        <v>336479.19</v>
      </c>
      <c r="G624" s="20" t="s">
        <v>718</v>
      </c>
      <c r="H624" s="20" t="s">
        <v>24</v>
      </c>
    </row>
    <row r="625" spans="1:8">
      <c r="A625" s="16" t="s">
        <v>945</v>
      </c>
      <c r="B625" s="16" t="s">
        <v>69</v>
      </c>
      <c r="C625" s="8" t="s">
        <v>1071</v>
      </c>
      <c r="D625" s="17"/>
      <c r="E625" s="16" t="s">
        <v>11</v>
      </c>
      <c r="F625" s="18">
        <v>338155.67</v>
      </c>
      <c r="G625" s="20" t="s">
        <v>78</v>
      </c>
      <c r="H625" s="20" t="s">
        <v>24</v>
      </c>
    </row>
    <row r="626" spans="1:8">
      <c r="A626" s="15" t="s">
        <v>945</v>
      </c>
      <c r="B626" s="16" t="s">
        <v>69</v>
      </c>
      <c r="C626" s="8" t="s">
        <v>1061</v>
      </c>
      <c r="D626" s="17"/>
      <c r="E626" s="16" t="s">
        <v>11</v>
      </c>
      <c r="F626" s="18">
        <v>343812.98</v>
      </c>
      <c r="G626" s="20" t="s">
        <v>74</v>
      </c>
      <c r="H626" s="20" t="s">
        <v>24</v>
      </c>
    </row>
    <row r="627" spans="1:8">
      <c r="A627" s="15" t="s">
        <v>945</v>
      </c>
      <c r="B627" s="16" t="s">
        <v>69</v>
      </c>
      <c r="C627" s="8" t="s">
        <v>1252</v>
      </c>
      <c r="D627" s="17"/>
      <c r="E627" s="16" t="s">
        <v>11</v>
      </c>
      <c r="F627" s="18">
        <v>345027.77</v>
      </c>
      <c r="G627" s="20" t="s">
        <v>718</v>
      </c>
      <c r="H627" s="20" t="s">
        <v>24</v>
      </c>
    </row>
    <row r="628" spans="1:8">
      <c r="A628" s="15" t="s">
        <v>945</v>
      </c>
      <c r="B628" s="16" t="s">
        <v>69</v>
      </c>
      <c r="C628" s="8" t="s">
        <v>1253</v>
      </c>
      <c r="D628" s="17"/>
      <c r="E628" s="16" t="s">
        <v>11</v>
      </c>
      <c r="F628" s="18">
        <v>347900.38</v>
      </c>
      <c r="G628" s="20" t="s">
        <v>586</v>
      </c>
      <c r="H628" s="20" t="s">
        <v>81</v>
      </c>
    </row>
    <row r="629" spans="1:8">
      <c r="A629" s="15" t="s">
        <v>945</v>
      </c>
      <c r="B629" s="16" t="s">
        <v>69</v>
      </c>
      <c r="C629" s="8" t="s">
        <v>1122</v>
      </c>
      <c r="D629" s="17"/>
      <c r="E629" s="16" t="s">
        <v>11</v>
      </c>
      <c r="F629" s="18">
        <v>350369.36</v>
      </c>
      <c r="G629" s="20" t="s">
        <v>616</v>
      </c>
      <c r="H629" s="20" t="s">
        <v>67</v>
      </c>
    </row>
    <row r="630" spans="1:8">
      <c r="A630" s="16" t="s">
        <v>945</v>
      </c>
      <c r="B630" s="16" t="s">
        <v>69</v>
      </c>
      <c r="C630" s="8" t="s">
        <v>1254</v>
      </c>
      <c r="D630" s="17"/>
      <c r="E630" s="16" t="s">
        <v>11</v>
      </c>
      <c r="F630" s="18">
        <v>356826.65</v>
      </c>
      <c r="G630" s="20" t="s">
        <v>31</v>
      </c>
      <c r="H630" s="20" t="s">
        <v>24</v>
      </c>
    </row>
    <row r="631" spans="1:8">
      <c r="A631" s="15" t="s">
        <v>945</v>
      </c>
      <c r="B631" s="16" t="s">
        <v>69</v>
      </c>
      <c r="C631" s="8" t="s">
        <v>1164</v>
      </c>
      <c r="D631" s="17"/>
      <c r="E631" s="16" t="s">
        <v>11</v>
      </c>
      <c r="F631" s="18">
        <v>357500.61</v>
      </c>
      <c r="G631" s="20" t="s">
        <v>1165</v>
      </c>
      <c r="H631" s="20" t="s">
        <v>24</v>
      </c>
    </row>
    <row r="632" spans="1:8">
      <c r="A632" s="15" t="s">
        <v>945</v>
      </c>
      <c r="B632" s="16" t="s">
        <v>69</v>
      </c>
      <c r="C632" s="8" t="s">
        <v>956</v>
      </c>
      <c r="D632" s="17"/>
      <c r="E632" s="16" t="s">
        <v>11</v>
      </c>
      <c r="F632" s="18">
        <v>360568.1</v>
      </c>
      <c r="G632" s="20" t="s">
        <v>36</v>
      </c>
      <c r="H632" s="20" t="s">
        <v>36</v>
      </c>
    </row>
    <row r="633" spans="1:8">
      <c r="A633" s="16" t="s">
        <v>945</v>
      </c>
      <c r="B633" s="16" t="s">
        <v>69</v>
      </c>
      <c r="C633" s="8" t="s">
        <v>1071</v>
      </c>
      <c r="D633" s="17"/>
      <c r="E633" s="16" t="s">
        <v>11</v>
      </c>
      <c r="F633" s="18">
        <v>360590.99</v>
      </c>
      <c r="G633" s="20" t="s">
        <v>78</v>
      </c>
      <c r="H633" s="20" t="s">
        <v>24</v>
      </c>
    </row>
    <row r="634" spans="1:8">
      <c r="A634" s="16" t="s">
        <v>945</v>
      </c>
      <c r="B634" s="16" t="s">
        <v>69</v>
      </c>
      <c r="C634" s="16" t="s">
        <v>1016</v>
      </c>
      <c r="D634" s="17"/>
      <c r="E634" s="16" t="s">
        <v>11</v>
      </c>
      <c r="F634" s="18">
        <v>361376.99</v>
      </c>
      <c r="G634" s="19" t="s">
        <v>36</v>
      </c>
      <c r="H634" s="19" t="s">
        <v>47</v>
      </c>
    </row>
    <row r="635" spans="1:8">
      <c r="A635" s="15" t="s">
        <v>945</v>
      </c>
      <c r="B635" s="16" t="s">
        <v>69</v>
      </c>
      <c r="C635" s="8" t="s">
        <v>1080</v>
      </c>
      <c r="D635" s="17"/>
      <c r="E635" s="16" t="s">
        <v>11</v>
      </c>
      <c r="F635" s="18">
        <v>363685.04</v>
      </c>
      <c r="G635" s="20" t="s">
        <v>1062</v>
      </c>
      <c r="H635" s="20" t="s">
        <v>24</v>
      </c>
    </row>
    <row r="636" spans="1:8">
      <c r="A636" s="15" t="s">
        <v>945</v>
      </c>
      <c r="B636" s="16" t="s">
        <v>69</v>
      </c>
      <c r="C636" s="8" t="s">
        <v>1255</v>
      </c>
      <c r="D636" s="17"/>
      <c r="E636" s="16" t="s">
        <v>11</v>
      </c>
      <c r="F636" s="18">
        <v>369355.74</v>
      </c>
      <c r="G636" s="20" t="s">
        <v>953</v>
      </c>
      <c r="H636" s="20" t="s">
        <v>81</v>
      </c>
    </row>
    <row r="637" ht="45" spans="1:8">
      <c r="A637" s="16" t="s">
        <v>1216</v>
      </c>
      <c r="B637" s="16" t="s">
        <v>61</v>
      </c>
      <c r="C637" s="16" t="s">
        <v>1217</v>
      </c>
      <c r="D637" s="17"/>
      <c r="E637" s="16" t="s">
        <v>11</v>
      </c>
      <c r="F637" s="18">
        <v>370129.68</v>
      </c>
      <c r="G637" s="20" t="s">
        <v>1167</v>
      </c>
      <c r="H637" s="20" t="s">
        <v>24</v>
      </c>
    </row>
    <row r="638" ht="45" spans="1:8">
      <c r="A638" s="16" t="s">
        <v>1216</v>
      </c>
      <c r="B638" s="16" t="s">
        <v>25</v>
      </c>
      <c r="C638" s="8" t="s">
        <v>1256</v>
      </c>
      <c r="D638" s="23">
        <v>45931</v>
      </c>
      <c r="E638" s="16" t="s">
        <v>11</v>
      </c>
      <c r="F638" s="18">
        <v>370870.03</v>
      </c>
      <c r="G638" s="20" t="s">
        <v>243</v>
      </c>
      <c r="H638" s="20" t="s">
        <v>67</v>
      </c>
    </row>
    <row r="639" spans="1:8">
      <c r="A639" s="15" t="s">
        <v>945</v>
      </c>
      <c r="B639" s="16" t="s">
        <v>69</v>
      </c>
      <c r="C639" s="8" t="s">
        <v>1123</v>
      </c>
      <c r="D639" s="17"/>
      <c r="E639" s="16" t="s">
        <v>11</v>
      </c>
      <c r="F639" s="18">
        <v>371659.1</v>
      </c>
      <c r="G639" s="20" t="s">
        <v>43</v>
      </c>
      <c r="H639" s="20" t="s">
        <v>24</v>
      </c>
    </row>
    <row r="640" spans="1:8">
      <c r="A640" s="15" t="s">
        <v>945</v>
      </c>
      <c r="B640" s="16" t="s">
        <v>69</v>
      </c>
      <c r="C640" s="8" t="s">
        <v>981</v>
      </c>
      <c r="D640" s="17"/>
      <c r="E640" s="16" t="s">
        <v>11</v>
      </c>
      <c r="F640" s="18">
        <v>372877.84</v>
      </c>
      <c r="G640" s="20" t="s">
        <v>74</v>
      </c>
      <c r="H640" s="20" t="s">
        <v>24</v>
      </c>
    </row>
    <row r="641" spans="1:8">
      <c r="A641" s="16" t="s">
        <v>945</v>
      </c>
      <c r="B641" s="16" t="s">
        <v>69</v>
      </c>
      <c r="C641" s="8" t="s">
        <v>999</v>
      </c>
      <c r="D641" s="17"/>
      <c r="E641" s="16" t="s">
        <v>11</v>
      </c>
      <c r="F641" s="18">
        <v>373117.34</v>
      </c>
      <c r="G641" s="20" t="s">
        <v>78</v>
      </c>
      <c r="H641" s="20" t="s">
        <v>24</v>
      </c>
    </row>
    <row r="642" ht="45" spans="1:8">
      <c r="A642" s="16" t="s">
        <v>1216</v>
      </c>
      <c r="B642" s="16" t="s">
        <v>25</v>
      </c>
      <c r="C642" s="8" t="s">
        <v>1257</v>
      </c>
      <c r="D642" s="23">
        <v>45813</v>
      </c>
      <c r="E642" s="16" t="s">
        <v>11</v>
      </c>
      <c r="F642" s="18">
        <v>373443.94</v>
      </c>
      <c r="G642" s="20" t="s">
        <v>141</v>
      </c>
      <c r="H642" s="20" t="s">
        <v>47</v>
      </c>
    </row>
    <row r="643" spans="1:8">
      <c r="A643" s="15" t="s">
        <v>945</v>
      </c>
      <c r="B643" s="16" t="s">
        <v>69</v>
      </c>
      <c r="C643" s="8" t="s">
        <v>1048</v>
      </c>
      <c r="D643" s="17"/>
      <c r="E643" s="16" t="s">
        <v>11</v>
      </c>
      <c r="F643" s="18">
        <v>378639.26</v>
      </c>
      <c r="G643" s="20" t="s">
        <v>1049</v>
      </c>
      <c r="H643" s="20" t="s">
        <v>67</v>
      </c>
    </row>
    <row r="644" spans="1:8">
      <c r="A644" s="16" t="s">
        <v>945</v>
      </c>
      <c r="B644" s="16" t="s">
        <v>69</v>
      </c>
      <c r="C644" s="8" t="s">
        <v>971</v>
      </c>
      <c r="D644" s="17"/>
      <c r="E644" s="16" t="s">
        <v>11</v>
      </c>
      <c r="F644" s="18">
        <v>380838.99</v>
      </c>
      <c r="G644" s="20" t="s">
        <v>972</v>
      </c>
      <c r="H644" s="20" t="s">
        <v>24</v>
      </c>
    </row>
    <row r="645" spans="1:8">
      <c r="A645" s="15" t="s">
        <v>945</v>
      </c>
      <c r="B645" s="16" t="s">
        <v>69</v>
      </c>
      <c r="C645" s="8" t="s">
        <v>956</v>
      </c>
      <c r="D645" s="17"/>
      <c r="E645" s="16" t="s">
        <v>11</v>
      </c>
      <c r="F645" s="18">
        <v>388193.34</v>
      </c>
      <c r="G645" s="20" t="s">
        <v>36</v>
      </c>
      <c r="H645" s="20" t="s">
        <v>36</v>
      </c>
    </row>
    <row r="646" spans="1:8">
      <c r="A646" s="15" t="s">
        <v>945</v>
      </c>
      <c r="B646" s="16" t="s">
        <v>69</v>
      </c>
      <c r="C646" s="8" t="s">
        <v>1153</v>
      </c>
      <c r="D646" s="17"/>
      <c r="E646" s="16" t="s">
        <v>11</v>
      </c>
      <c r="F646" s="18">
        <v>390017.15</v>
      </c>
      <c r="G646" s="20" t="s">
        <v>66</v>
      </c>
      <c r="H646" s="20" t="s">
        <v>67</v>
      </c>
    </row>
    <row r="647" spans="1:8">
      <c r="A647" s="15" t="s">
        <v>945</v>
      </c>
      <c r="B647" s="16" t="s">
        <v>69</v>
      </c>
      <c r="C647" s="8" t="s">
        <v>1040</v>
      </c>
      <c r="D647" s="17"/>
      <c r="E647" s="16" t="s">
        <v>11</v>
      </c>
      <c r="F647" s="18">
        <v>394762.44</v>
      </c>
      <c r="G647" s="20" t="s">
        <v>277</v>
      </c>
      <c r="H647" s="20" t="s">
        <v>24</v>
      </c>
    </row>
    <row r="648" spans="1:8">
      <c r="A648" s="15" t="s">
        <v>945</v>
      </c>
      <c r="B648" s="16" t="s">
        <v>69</v>
      </c>
      <c r="C648" s="8" t="s">
        <v>951</v>
      </c>
      <c r="D648" s="17"/>
      <c r="E648" s="16" t="s">
        <v>11</v>
      </c>
      <c r="F648" s="18">
        <v>399845.65</v>
      </c>
      <c r="G648" s="20" t="s">
        <v>74</v>
      </c>
      <c r="H648" s="20" t="s">
        <v>24</v>
      </c>
    </row>
    <row r="649" spans="1:8">
      <c r="A649" s="15" t="s">
        <v>945</v>
      </c>
      <c r="B649" s="16" t="s">
        <v>69</v>
      </c>
      <c r="C649" s="8" t="s">
        <v>963</v>
      </c>
      <c r="D649" s="17"/>
      <c r="E649" s="16" t="s">
        <v>11</v>
      </c>
      <c r="F649" s="18">
        <v>400470.06</v>
      </c>
      <c r="G649" s="20" t="s">
        <v>74</v>
      </c>
      <c r="H649" s="20" t="s">
        <v>24</v>
      </c>
    </row>
    <row r="650" spans="1:8">
      <c r="A650" s="15" t="s">
        <v>945</v>
      </c>
      <c r="B650" s="16" t="s">
        <v>69</v>
      </c>
      <c r="C650" s="8" t="s">
        <v>952</v>
      </c>
      <c r="D650" s="17"/>
      <c r="E650" s="16" t="s">
        <v>11</v>
      </c>
      <c r="F650" s="18">
        <v>402118.08</v>
      </c>
      <c r="G650" s="20" t="s">
        <v>953</v>
      </c>
      <c r="H650" s="20" t="s">
        <v>81</v>
      </c>
    </row>
    <row r="651" spans="1:8">
      <c r="A651" s="15" t="s">
        <v>945</v>
      </c>
      <c r="B651" s="16" t="s">
        <v>69</v>
      </c>
      <c r="C651" s="8" t="s">
        <v>1001</v>
      </c>
      <c r="D651" s="17"/>
      <c r="E651" s="16" t="s">
        <v>11</v>
      </c>
      <c r="F651" s="18">
        <v>403040.03</v>
      </c>
      <c r="G651" s="19" t="s">
        <v>993</v>
      </c>
      <c r="H651" s="19" t="s">
        <v>47</v>
      </c>
    </row>
    <row r="652" spans="1:8">
      <c r="A652" s="15" t="s">
        <v>945</v>
      </c>
      <c r="B652" s="16" t="s">
        <v>69</v>
      </c>
      <c r="C652" s="8" t="s">
        <v>1258</v>
      </c>
      <c r="D652" s="17"/>
      <c r="E652" s="16" t="s">
        <v>11</v>
      </c>
      <c r="F652" s="18">
        <v>404414.53</v>
      </c>
      <c r="G652" s="20" t="s">
        <v>232</v>
      </c>
      <c r="H652" s="20" t="s">
        <v>24</v>
      </c>
    </row>
    <row r="653" spans="1:8">
      <c r="A653" s="15" t="s">
        <v>945</v>
      </c>
      <c r="B653" s="16" t="s">
        <v>69</v>
      </c>
      <c r="C653" s="8" t="s">
        <v>1020</v>
      </c>
      <c r="D653" s="17"/>
      <c r="E653" s="16" t="s">
        <v>11</v>
      </c>
      <c r="F653" s="18">
        <v>406505.74</v>
      </c>
      <c r="G653" s="20" t="s">
        <v>201</v>
      </c>
      <c r="H653" s="20" t="s">
        <v>24</v>
      </c>
    </row>
    <row r="654" spans="1:8">
      <c r="A654" s="15" t="s">
        <v>945</v>
      </c>
      <c r="B654" s="16" t="s">
        <v>69</v>
      </c>
      <c r="C654" s="8" t="s">
        <v>1212</v>
      </c>
      <c r="D654" s="17"/>
      <c r="E654" s="16" t="s">
        <v>11</v>
      </c>
      <c r="F654" s="18">
        <v>418380.24</v>
      </c>
      <c r="G654" s="20" t="s">
        <v>356</v>
      </c>
      <c r="H654" s="20" t="s">
        <v>67</v>
      </c>
    </row>
    <row r="655" ht="30" spans="1:8">
      <c r="A655" s="16" t="s">
        <v>945</v>
      </c>
      <c r="B655" s="16" t="s">
        <v>69</v>
      </c>
      <c r="C655" s="8" t="s">
        <v>1259</v>
      </c>
      <c r="D655" s="17"/>
      <c r="E655" s="16" t="s">
        <v>11</v>
      </c>
      <c r="F655" s="18">
        <v>421891.25</v>
      </c>
      <c r="G655" s="20" t="s">
        <v>1070</v>
      </c>
      <c r="H655" s="20" t="s">
        <v>1260</v>
      </c>
    </row>
    <row r="656" spans="1:8">
      <c r="A656" s="15" t="s">
        <v>945</v>
      </c>
      <c r="B656" s="16" t="s">
        <v>69</v>
      </c>
      <c r="C656" s="8" t="s">
        <v>1075</v>
      </c>
      <c r="D656" s="17"/>
      <c r="E656" s="16" t="s">
        <v>11</v>
      </c>
      <c r="F656" s="18">
        <v>422426.3</v>
      </c>
      <c r="G656" s="20" t="s">
        <v>1076</v>
      </c>
      <c r="H656" s="20" t="s">
        <v>28</v>
      </c>
    </row>
    <row r="657" ht="60" spans="1:8">
      <c r="A657" s="16" t="s">
        <v>1216</v>
      </c>
      <c r="B657" s="16" t="s">
        <v>61</v>
      </c>
      <c r="C657" s="16" t="s">
        <v>1217</v>
      </c>
      <c r="D657" s="17"/>
      <c r="E657" s="16" t="s">
        <v>11</v>
      </c>
      <c r="F657" s="18">
        <v>425193.4</v>
      </c>
      <c r="G657" s="20" t="s">
        <v>1261</v>
      </c>
      <c r="H657" s="20" t="s">
        <v>28</v>
      </c>
    </row>
    <row r="658" spans="1:8">
      <c r="A658" s="15" t="s">
        <v>945</v>
      </c>
      <c r="B658" s="16" t="s">
        <v>69</v>
      </c>
      <c r="C658" s="8" t="s">
        <v>1089</v>
      </c>
      <c r="D658" s="17"/>
      <c r="E658" s="16" t="s">
        <v>11</v>
      </c>
      <c r="F658" s="18">
        <v>428343.93</v>
      </c>
      <c r="G658" s="20" t="s">
        <v>66</v>
      </c>
      <c r="H658" s="20" t="s">
        <v>67</v>
      </c>
    </row>
    <row r="659" spans="1:8">
      <c r="A659" s="15" t="s">
        <v>945</v>
      </c>
      <c r="B659" s="16" t="s">
        <v>69</v>
      </c>
      <c r="C659" s="8" t="s">
        <v>1050</v>
      </c>
      <c r="D659" s="17"/>
      <c r="E659" s="16" t="s">
        <v>11</v>
      </c>
      <c r="F659" s="18">
        <v>432403.61</v>
      </c>
      <c r="G659" s="20" t="s">
        <v>609</v>
      </c>
      <c r="H659" s="20" t="s">
        <v>81</v>
      </c>
    </row>
    <row r="660" spans="1:8">
      <c r="A660" s="15" t="s">
        <v>945</v>
      </c>
      <c r="B660" s="16" t="s">
        <v>69</v>
      </c>
      <c r="C660" s="8" t="s">
        <v>1034</v>
      </c>
      <c r="D660" s="17"/>
      <c r="E660" s="16" t="s">
        <v>11</v>
      </c>
      <c r="F660" s="18">
        <v>434742.6</v>
      </c>
      <c r="G660" s="20" t="s">
        <v>23</v>
      </c>
      <c r="H660" s="20" t="s">
        <v>24</v>
      </c>
    </row>
    <row r="661" spans="1:8">
      <c r="A661" s="15" t="s">
        <v>945</v>
      </c>
      <c r="B661" s="16" t="s">
        <v>69</v>
      </c>
      <c r="C661" s="8" t="s">
        <v>952</v>
      </c>
      <c r="D661" s="17"/>
      <c r="E661" s="16" t="s">
        <v>11</v>
      </c>
      <c r="F661" s="18">
        <v>444422.14</v>
      </c>
      <c r="G661" s="20" t="s">
        <v>953</v>
      </c>
      <c r="H661" s="20" t="s">
        <v>81</v>
      </c>
    </row>
    <row r="662" spans="1:8">
      <c r="A662" s="15" t="s">
        <v>945</v>
      </c>
      <c r="B662" s="16" t="s">
        <v>69</v>
      </c>
      <c r="C662" s="8" t="s">
        <v>1113</v>
      </c>
      <c r="D662" s="17"/>
      <c r="E662" s="16" t="s">
        <v>11</v>
      </c>
      <c r="F662" s="18">
        <v>458042.59</v>
      </c>
      <c r="G662" s="20" t="s">
        <v>586</v>
      </c>
      <c r="H662" s="20" t="s">
        <v>81</v>
      </c>
    </row>
    <row r="663" spans="1:8">
      <c r="A663" s="15" t="s">
        <v>945</v>
      </c>
      <c r="B663" s="16" t="s">
        <v>69</v>
      </c>
      <c r="C663" s="8" t="s">
        <v>1262</v>
      </c>
      <c r="D663" s="17"/>
      <c r="E663" s="16" t="s">
        <v>11</v>
      </c>
      <c r="F663" s="18">
        <v>462280.36</v>
      </c>
      <c r="G663" s="20" t="s">
        <v>36</v>
      </c>
      <c r="H663" s="20" t="s">
        <v>36</v>
      </c>
    </row>
    <row r="664" spans="1:8">
      <c r="A664" s="15" t="s">
        <v>945</v>
      </c>
      <c r="B664" s="16" t="s">
        <v>69</v>
      </c>
      <c r="C664" s="8" t="s">
        <v>1040</v>
      </c>
      <c r="D664" s="17"/>
      <c r="E664" s="16" t="s">
        <v>11</v>
      </c>
      <c r="F664" s="18">
        <v>468667.73</v>
      </c>
      <c r="G664" s="20" t="s">
        <v>277</v>
      </c>
      <c r="H664" s="20" t="s">
        <v>24</v>
      </c>
    </row>
    <row r="665" spans="1:8">
      <c r="A665" s="16" t="s">
        <v>945</v>
      </c>
      <c r="B665" s="16" t="s">
        <v>69</v>
      </c>
      <c r="C665" s="8" t="s">
        <v>1263</v>
      </c>
      <c r="D665" s="17"/>
      <c r="E665" s="16" t="s">
        <v>11</v>
      </c>
      <c r="F665" s="18">
        <v>470903.7</v>
      </c>
      <c r="G665" s="20" t="s">
        <v>1070</v>
      </c>
      <c r="H665" s="20" t="s">
        <v>47</v>
      </c>
    </row>
    <row r="666" spans="1:8">
      <c r="A666" s="15" t="s">
        <v>945</v>
      </c>
      <c r="B666" s="16" t="s">
        <v>69</v>
      </c>
      <c r="C666" s="8" t="s">
        <v>1163</v>
      </c>
      <c r="D666" s="17"/>
      <c r="E666" s="16" t="s">
        <v>11</v>
      </c>
      <c r="F666" s="18">
        <v>473397.49</v>
      </c>
      <c r="G666" s="20" t="s">
        <v>35</v>
      </c>
      <c r="H666" s="20" t="s">
        <v>24</v>
      </c>
    </row>
    <row r="667" spans="1:8">
      <c r="A667" s="15" t="s">
        <v>945</v>
      </c>
      <c r="B667" s="16" t="s">
        <v>69</v>
      </c>
      <c r="C667" s="8" t="s">
        <v>1102</v>
      </c>
      <c r="D667" s="17"/>
      <c r="E667" s="16" t="s">
        <v>11</v>
      </c>
      <c r="F667" s="18">
        <v>473988.84</v>
      </c>
      <c r="G667" s="20" t="s">
        <v>66</v>
      </c>
      <c r="H667" s="20" t="s">
        <v>67</v>
      </c>
    </row>
    <row r="668" spans="1:8">
      <c r="A668" s="15" t="s">
        <v>945</v>
      </c>
      <c r="B668" s="16" t="s">
        <v>69</v>
      </c>
      <c r="C668" s="8" t="s">
        <v>1043</v>
      </c>
      <c r="D668" s="17"/>
      <c r="E668" s="16" t="s">
        <v>11</v>
      </c>
      <c r="F668" s="18">
        <v>478725</v>
      </c>
      <c r="G668" s="20" t="s">
        <v>232</v>
      </c>
      <c r="H668" s="20" t="s">
        <v>24</v>
      </c>
    </row>
    <row r="669" spans="1:8">
      <c r="A669" s="15" t="s">
        <v>945</v>
      </c>
      <c r="B669" s="16" t="s">
        <v>69</v>
      </c>
      <c r="C669" s="8" t="s">
        <v>1073</v>
      </c>
      <c r="D669" s="17"/>
      <c r="E669" s="16" t="s">
        <v>11</v>
      </c>
      <c r="F669" s="18">
        <v>485179.99</v>
      </c>
      <c r="G669" s="20" t="s">
        <v>972</v>
      </c>
      <c r="H669" s="20" t="s">
        <v>24</v>
      </c>
    </row>
    <row r="670" spans="1:8">
      <c r="A670" s="15" t="s">
        <v>945</v>
      </c>
      <c r="B670" s="16" t="s">
        <v>69</v>
      </c>
      <c r="C670" s="8" t="s">
        <v>1022</v>
      </c>
      <c r="D670" s="17"/>
      <c r="E670" s="16" t="s">
        <v>11</v>
      </c>
      <c r="F670" s="18">
        <v>488388.37</v>
      </c>
      <c r="G670" s="20" t="s">
        <v>179</v>
      </c>
      <c r="H670" s="20" t="s">
        <v>81</v>
      </c>
    </row>
    <row r="671" spans="1:8">
      <c r="A671" s="15" t="s">
        <v>945</v>
      </c>
      <c r="B671" s="16" t="s">
        <v>69</v>
      </c>
      <c r="C671" s="8" t="s">
        <v>1264</v>
      </c>
      <c r="D671" s="17"/>
      <c r="E671" s="16" t="s">
        <v>11</v>
      </c>
      <c r="F671" s="18">
        <v>492396.3</v>
      </c>
      <c r="G671" s="19" t="s">
        <v>274</v>
      </c>
      <c r="H671" s="19" t="s">
        <v>47</v>
      </c>
    </row>
    <row r="672" spans="1:8">
      <c r="A672" s="15" t="s">
        <v>945</v>
      </c>
      <c r="B672" s="16" t="s">
        <v>69</v>
      </c>
      <c r="C672" s="8" t="s">
        <v>956</v>
      </c>
      <c r="D672" s="17"/>
      <c r="E672" s="16" t="s">
        <v>11</v>
      </c>
      <c r="F672" s="18">
        <v>492918.18</v>
      </c>
      <c r="G672" s="20" t="s">
        <v>36</v>
      </c>
      <c r="H672" s="20" t="s">
        <v>36</v>
      </c>
    </row>
    <row r="673" spans="1:8">
      <c r="A673" s="16" t="s">
        <v>945</v>
      </c>
      <c r="B673" s="16" t="s">
        <v>69</v>
      </c>
      <c r="C673" s="16" t="s">
        <v>1265</v>
      </c>
      <c r="D673" s="17"/>
      <c r="E673" s="16" t="s">
        <v>11</v>
      </c>
      <c r="F673" s="18">
        <v>498566.06</v>
      </c>
      <c r="G673" s="20" t="s">
        <v>36</v>
      </c>
      <c r="H673" s="20" t="s">
        <v>24</v>
      </c>
    </row>
    <row r="674" spans="1:8">
      <c r="A674" s="16" t="s">
        <v>945</v>
      </c>
      <c r="B674" s="16" t="s">
        <v>69</v>
      </c>
      <c r="C674" s="16" t="s">
        <v>1015</v>
      </c>
      <c r="D674" s="17"/>
      <c r="E674" s="16" t="s">
        <v>11</v>
      </c>
      <c r="F674" s="18">
        <v>498601.95</v>
      </c>
      <c r="G674" s="20" t="s">
        <v>74</v>
      </c>
      <c r="H674" s="20" t="s">
        <v>24</v>
      </c>
    </row>
    <row r="675" spans="1:8">
      <c r="A675" s="17"/>
      <c r="B675" s="16" t="s">
        <v>12</v>
      </c>
      <c r="C675" s="8" t="s">
        <v>1266</v>
      </c>
      <c r="D675" s="17"/>
      <c r="E675" s="16" t="s">
        <v>11</v>
      </c>
      <c r="F675" s="18">
        <v>499448.7</v>
      </c>
      <c r="G675" s="20" t="s">
        <v>1267</v>
      </c>
      <c r="H675" s="20" t="s">
        <v>28</v>
      </c>
    </row>
    <row r="676" spans="1:8">
      <c r="A676" s="15" t="s">
        <v>945</v>
      </c>
      <c r="B676" s="16" t="s">
        <v>69</v>
      </c>
      <c r="C676" s="16" t="s">
        <v>1268</v>
      </c>
      <c r="D676" s="17"/>
      <c r="E676" s="16" t="s">
        <v>11</v>
      </c>
      <c r="F676" s="18">
        <v>504468</v>
      </c>
      <c r="G676" s="19" t="s">
        <v>36</v>
      </c>
      <c r="H676" s="19" t="s">
        <v>36</v>
      </c>
    </row>
    <row r="677" spans="1:8">
      <c r="A677" s="15" t="s">
        <v>945</v>
      </c>
      <c r="B677" s="16" t="s">
        <v>69</v>
      </c>
      <c r="C677" s="8" t="s">
        <v>985</v>
      </c>
      <c r="D677" s="17"/>
      <c r="E677" s="16" t="s">
        <v>11</v>
      </c>
      <c r="F677" s="18">
        <v>506207.58</v>
      </c>
      <c r="G677" s="20" t="s">
        <v>986</v>
      </c>
      <c r="H677" s="20" t="s">
        <v>67</v>
      </c>
    </row>
    <row r="678" spans="1:8">
      <c r="A678" s="15" t="s">
        <v>945</v>
      </c>
      <c r="B678" s="16" t="s">
        <v>69</v>
      </c>
      <c r="C678" s="8" t="s">
        <v>964</v>
      </c>
      <c r="D678" s="17"/>
      <c r="E678" s="16" t="s">
        <v>11</v>
      </c>
      <c r="F678" s="18">
        <v>506234.54</v>
      </c>
      <c r="G678" s="20" t="s">
        <v>543</v>
      </c>
      <c r="H678" s="20" t="s">
        <v>81</v>
      </c>
    </row>
    <row r="679" spans="1:8">
      <c r="A679" s="15" t="s">
        <v>945</v>
      </c>
      <c r="B679" s="16" t="s">
        <v>69</v>
      </c>
      <c r="C679" s="8" t="s">
        <v>1269</v>
      </c>
      <c r="D679" s="17"/>
      <c r="E679" s="16" t="s">
        <v>11</v>
      </c>
      <c r="F679" s="18">
        <v>519341.37</v>
      </c>
      <c r="G679" s="19" t="s">
        <v>543</v>
      </c>
      <c r="H679" s="19" t="s">
        <v>81</v>
      </c>
    </row>
    <row r="680" spans="1:8">
      <c r="A680" s="15" t="s">
        <v>945</v>
      </c>
      <c r="B680" s="16" t="s">
        <v>69</v>
      </c>
      <c r="C680" s="8" t="s">
        <v>1061</v>
      </c>
      <c r="D680" s="17"/>
      <c r="E680" s="16" t="s">
        <v>11</v>
      </c>
      <c r="F680" s="18">
        <v>522524.74</v>
      </c>
      <c r="G680" s="20" t="s">
        <v>74</v>
      </c>
      <c r="H680" s="20" t="s">
        <v>24</v>
      </c>
    </row>
    <row r="681" spans="1:8">
      <c r="A681" s="15" t="s">
        <v>945</v>
      </c>
      <c r="B681" s="16" t="s">
        <v>69</v>
      </c>
      <c r="C681" s="8" t="s">
        <v>1008</v>
      </c>
      <c r="D681" s="17"/>
      <c r="E681" s="16" t="s">
        <v>11</v>
      </c>
      <c r="F681" s="18">
        <v>522749.94</v>
      </c>
      <c r="G681" s="19" t="s">
        <v>274</v>
      </c>
      <c r="H681" s="19" t="s">
        <v>47</v>
      </c>
    </row>
    <row r="682" spans="1:8">
      <c r="A682" s="16" t="s">
        <v>945</v>
      </c>
      <c r="B682" s="16" t="s">
        <v>69</v>
      </c>
      <c r="C682" s="8" t="s">
        <v>960</v>
      </c>
      <c r="D682" s="17"/>
      <c r="E682" s="16" t="s">
        <v>11</v>
      </c>
      <c r="F682" s="18">
        <v>525381.06</v>
      </c>
      <c r="G682" s="20" t="s">
        <v>210</v>
      </c>
      <c r="H682" s="20" t="s">
        <v>36</v>
      </c>
    </row>
    <row r="683" spans="1:8">
      <c r="A683" s="16" t="s">
        <v>945</v>
      </c>
      <c r="B683" s="16" t="s">
        <v>69</v>
      </c>
      <c r="C683" s="8" t="s">
        <v>958</v>
      </c>
      <c r="D683" s="17"/>
      <c r="E683" s="16" t="s">
        <v>11</v>
      </c>
      <c r="F683" s="18">
        <v>532545.25</v>
      </c>
      <c r="G683" s="20" t="s">
        <v>462</v>
      </c>
      <c r="H683" s="20" t="s">
        <v>47</v>
      </c>
    </row>
    <row r="684" spans="1:8">
      <c r="A684" s="15" t="s">
        <v>945</v>
      </c>
      <c r="B684" s="16" t="s">
        <v>69</v>
      </c>
      <c r="C684" s="8" t="s">
        <v>1037</v>
      </c>
      <c r="D684" s="17"/>
      <c r="E684" s="16" t="s">
        <v>11</v>
      </c>
      <c r="F684" s="18">
        <v>538471.6</v>
      </c>
      <c r="G684" s="19" t="s">
        <v>1038</v>
      </c>
      <c r="H684" s="19" t="s">
        <v>47</v>
      </c>
    </row>
    <row r="685" spans="1:8">
      <c r="A685" s="15" t="s">
        <v>945</v>
      </c>
      <c r="B685" s="16" t="s">
        <v>69</v>
      </c>
      <c r="C685" s="8" t="s">
        <v>1212</v>
      </c>
      <c r="D685" s="17"/>
      <c r="E685" s="16" t="s">
        <v>11</v>
      </c>
      <c r="F685" s="18">
        <v>541965.05</v>
      </c>
      <c r="G685" s="20" t="s">
        <v>356</v>
      </c>
      <c r="H685" s="20" t="s">
        <v>67</v>
      </c>
    </row>
    <row r="686" ht="45" spans="1:8">
      <c r="A686" s="16" t="s">
        <v>1216</v>
      </c>
      <c r="B686" s="16" t="s">
        <v>25</v>
      </c>
      <c r="C686" s="8" t="s">
        <v>1270</v>
      </c>
      <c r="D686" s="23">
        <v>45813</v>
      </c>
      <c r="E686" s="16" t="s">
        <v>11</v>
      </c>
      <c r="F686" s="18">
        <v>544818.26</v>
      </c>
      <c r="G686" s="20" t="s">
        <v>773</v>
      </c>
      <c r="H686" s="20" t="s">
        <v>67</v>
      </c>
    </row>
    <row r="687" spans="1:8">
      <c r="A687" s="16" t="s">
        <v>945</v>
      </c>
      <c r="B687" s="16" t="s">
        <v>69</v>
      </c>
      <c r="C687" s="16" t="s">
        <v>998</v>
      </c>
      <c r="D687" s="17"/>
      <c r="E687" s="16" t="s">
        <v>11</v>
      </c>
      <c r="F687" s="18">
        <v>563132.97</v>
      </c>
      <c r="G687" s="20" t="s">
        <v>66</v>
      </c>
      <c r="H687" s="20" t="s">
        <v>67</v>
      </c>
    </row>
    <row r="688" ht="45" spans="1:8">
      <c r="A688" s="16" t="s">
        <v>1216</v>
      </c>
      <c r="B688" s="16" t="s">
        <v>25</v>
      </c>
      <c r="C688" s="8" t="s">
        <v>1271</v>
      </c>
      <c r="D688" s="23">
        <v>45848</v>
      </c>
      <c r="E688" s="16" t="s">
        <v>11</v>
      </c>
      <c r="F688" s="18">
        <v>563591.67</v>
      </c>
      <c r="G688" s="20" t="s">
        <v>1272</v>
      </c>
      <c r="H688" s="20" t="s">
        <v>47</v>
      </c>
    </row>
    <row r="689" ht="60" spans="1:8">
      <c r="A689" s="16" t="s">
        <v>1216</v>
      </c>
      <c r="B689" s="16" t="s">
        <v>61</v>
      </c>
      <c r="C689" s="16" t="s">
        <v>1217</v>
      </c>
      <c r="D689" s="17"/>
      <c r="E689" s="16" t="s">
        <v>11</v>
      </c>
      <c r="F689" s="18">
        <v>578254.61</v>
      </c>
      <c r="G689" s="20" t="s">
        <v>1261</v>
      </c>
      <c r="H689" s="20" t="s">
        <v>28</v>
      </c>
    </row>
    <row r="690" ht="45" spans="1:8">
      <c r="A690" s="16" t="s">
        <v>1216</v>
      </c>
      <c r="B690" s="16" t="s">
        <v>61</v>
      </c>
      <c r="C690" s="16" t="s">
        <v>1217</v>
      </c>
      <c r="D690" s="17"/>
      <c r="E690" s="16" t="s">
        <v>11</v>
      </c>
      <c r="F690" s="18">
        <v>584534.38</v>
      </c>
      <c r="G690" s="20" t="s">
        <v>23</v>
      </c>
      <c r="H690" s="20" t="s">
        <v>24</v>
      </c>
    </row>
    <row r="691" spans="1:8">
      <c r="A691" s="15" t="s">
        <v>945</v>
      </c>
      <c r="B691" s="16" t="s">
        <v>69</v>
      </c>
      <c r="C691" s="8" t="s">
        <v>1007</v>
      </c>
      <c r="D691" s="17"/>
      <c r="E691" s="16" t="s">
        <v>11</v>
      </c>
      <c r="F691" s="18">
        <v>593136.7</v>
      </c>
      <c r="G691" s="19" t="s">
        <v>46</v>
      </c>
      <c r="H691" s="19" t="s">
        <v>47</v>
      </c>
    </row>
    <row r="692" ht="30" spans="1:8">
      <c r="A692" s="15" t="s">
        <v>945</v>
      </c>
      <c r="B692" s="16" t="s">
        <v>69</v>
      </c>
      <c r="C692" s="8" t="s">
        <v>1202</v>
      </c>
      <c r="D692" s="17"/>
      <c r="E692" s="16" t="s">
        <v>11</v>
      </c>
      <c r="F692" s="18">
        <v>594848.22</v>
      </c>
      <c r="G692" s="20" t="s">
        <v>962</v>
      </c>
      <c r="H692" s="20" t="s">
        <v>1260</v>
      </c>
    </row>
    <row r="693" spans="1:8">
      <c r="A693" s="16" t="s">
        <v>945</v>
      </c>
      <c r="B693" s="16" t="s">
        <v>69</v>
      </c>
      <c r="C693" s="8" t="s">
        <v>1137</v>
      </c>
      <c r="D693" s="17"/>
      <c r="E693" s="16" t="s">
        <v>11</v>
      </c>
      <c r="F693" s="18">
        <v>595461.11</v>
      </c>
      <c r="G693" s="20" t="s">
        <v>1027</v>
      </c>
      <c r="H693" s="20" t="s">
        <v>24</v>
      </c>
    </row>
    <row r="694" spans="1:8">
      <c r="A694" s="16" t="s">
        <v>945</v>
      </c>
      <c r="B694" s="16" t="s">
        <v>69</v>
      </c>
      <c r="C694" s="8" t="s">
        <v>1137</v>
      </c>
      <c r="D694" s="17"/>
      <c r="E694" s="16" t="s">
        <v>11</v>
      </c>
      <c r="F694" s="18">
        <v>595461.11</v>
      </c>
      <c r="G694" s="20" t="s">
        <v>1027</v>
      </c>
      <c r="H694" s="20" t="s">
        <v>24</v>
      </c>
    </row>
    <row r="695" spans="1:8">
      <c r="A695" s="15" t="s">
        <v>945</v>
      </c>
      <c r="B695" s="16" t="s">
        <v>69</v>
      </c>
      <c r="C695" s="8" t="s">
        <v>1273</v>
      </c>
      <c r="D695" s="17"/>
      <c r="E695" s="16" t="s">
        <v>11</v>
      </c>
      <c r="F695" s="18">
        <v>597985.13</v>
      </c>
      <c r="G695" s="19" t="s">
        <v>1012</v>
      </c>
      <c r="H695" s="19" t="s">
        <v>28</v>
      </c>
    </row>
    <row r="696" spans="1:8">
      <c r="A696" s="17"/>
      <c r="B696" s="16" t="s">
        <v>12</v>
      </c>
      <c r="C696" s="8" t="s">
        <v>1274</v>
      </c>
      <c r="D696" s="17"/>
      <c r="E696" s="16" t="s">
        <v>11</v>
      </c>
      <c r="F696" s="18">
        <v>599420.64</v>
      </c>
      <c r="G696" s="20" t="s">
        <v>1275</v>
      </c>
      <c r="H696" s="20" t="s">
        <v>28</v>
      </c>
    </row>
    <row r="697" spans="1:8">
      <c r="A697" s="15" t="s">
        <v>945</v>
      </c>
      <c r="B697" s="16" t="s">
        <v>69</v>
      </c>
      <c r="C697" s="8" t="s">
        <v>949</v>
      </c>
      <c r="D697" s="17"/>
      <c r="E697" s="16" t="s">
        <v>11</v>
      </c>
      <c r="F697" s="18">
        <v>605530.55</v>
      </c>
      <c r="G697" s="20" t="s">
        <v>950</v>
      </c>
      <c r="H697" s="20" t="s">
        <v>81</v>
      </c>
    </row>
    <row r="698" spans="1:8">
      <c r="A698" s="15" t="s">
        <v>945</v>
      </c>
      <c r="B698" s="16" t="s">
        <v>69</v>
      </c>
      <c r="C698" s="8" t="s">
        <v>1105</v>
      </c>
      <c r="D698" s="17"/>
      <c r="E698" s="16" t="s">
        <v>11</v>
      </c>
      <c r="F698" s="18">
        <v>612894.33</v>
      </c>
      <c r="G698" s="20" t="s">
        <v>50</v>
      </c>
      <c r="H698" s="20" t="s">
        <v>47</v>
      </c>
    </row>
    <row r="699" spans="1:8">
      <c r="A699" s="15" t="s">
        <v>945</v>
      </c>
      <c r="B699" s="16" t="s">
        <v>69</v>
      </c>
      <c r="C699" s="8" t="s">
        <v>974</v>
      </c>
      <c r="D699" s="17"/>
      <c r="E699" s="16" t="s">
        <v>11</v>
      </c>
      <c r="F699" s="18">
        <v>614037.64</v>
      </c>
      <c r="G699" s="20" t="s">
        <v>356</v>
      </c>
      <c r="H699" s="20" t="s">
        <v>67</v>
      </c>
    </row>
    <row r="700" spans="1:8">
      <c r="A700" s="16" t="s">
        <v>945</v>
      </c>
      <c r="B700" s="16" t="s">
        <v>69</v>
      </c>
      <c r="C700" s="8" t="s">
        <v>1276</v>
      </c>
      <c r="D700" s="17"/>
      <c r="E700" s="16" t="s">
        <v>11</v>
      </c>
      <c r="F700" s="18">
        <v>619098.16</v>
      </c>
      <c r="G700" s="20" t="s">
        <v>78</v>
      </c>
      <c r="H700" s="20" t="s">
        <v>24</v>
      </c>
    </row>
    <row r="701" spans="1:8">
      <c r="A701" s="16" t="s">
        <v>945</v>
      </c>
      <c r="B701" s="16" t="s">
        <v>69</v>
      </c>
      <c r="C701" s="8" t="s">
        <v>1277</v>
      </c>
      <c r="D701" s="17"/>
      <c r="E701" s="16" t="s">
        <v>11</v>
      </c>
      <c r="F701" s="18">
        <v>626138.04</v>
      </c>
      <c r="G701" s="19" t="s">
        <v>277</v>
      </c>
      <c r="H701" s="19" t="s">
        <v>24</v>
      </c>
    </row>
    <row r="702" spans="1:8">
      <c r="A702" s="15" t="s">
        <v>945</v>
      </c>
      <c r="B702" s="16" t="s">
        <v>69</v>
      </c>
      <c r="C702" s="8" t="s">
        <v>1025</v>
      </c>
      <c r="D702" s="17"/>
      <c r="E702" s="16" t="s">
        <v>11</v>
      </c>
      <c r="F702" s="18">
        <v>627179.15</v>
      </c>
      <c r="G702" s="20" t="s">
        <v>554</v>
      </c>
      <c r="H702" s="20" t="s">
        <v>28</v>
      </c>
    </row>
    <row r="703" spans="1:8">
      <c r="A703" s="16" t="s">
        <v>945</v>
      </c>
      <c r="B703" s="16" t="s">
        <v>69</v>
      </c>
      <c r="C703" s="8" t="s">
        <v>1278</v>
      </c>
      <c r="D703" s="17"/>
      <c r="E703" s="16" t="s">
        <v>11</v>
      </c>
      <c r="F703" s="18">
        <v>629013.72</v>
      </c>
      <c r="G703" s="20" t="s">
        <v>31</v>
      </c>
      <c r="H703" s="20" t="s">
        <v>24</v>
      </c>
    </row>
    <row r="704" ht="45" spans="1:8">
      <c r="A704" s="16" t="s">
        <v>1216</v>
      </c>
      <c r="B704" s="16" t="s">
        <v>25</v>
      </c>
      <c r="C704" s="8" t="s">
        <v>1279</v>
      </c>
      <c r="D704" s="23">
        <v>45813</v>
      </c>
      <c r="E704" s="16" t="s">
        <v>11</v>
      </c>
      <c r="F704" s="18">
        <v>631301.65</v>
      </c>
      <c r="G704" s="20" t="s">
        <v>85</v>
      </c>
      <c r="H704" s="20" t="s">
        <v>47</v>
      </c>
    </row>
    <row r="705" ht="45" spans="1:8">
      <c r="A705" s="16" t="s">
        <v>1216</v>
      </c>
      <c r="B705" s="16" t="s">
        <v>25</v>
      </c>
      <c r="C705" s="8" t="s">
        <v>1280</v>
      </c>
      <c r="D705" s="23">
        <v>45813</v>
      </c>
      <c r="E705" s="16" t="s">
        <v>11</v>
      </c>
      <c r="F705" s="18">
        <v>632472.72</v>
      </c>
      <c r="G705" s="20" t="s">
        <v>285</v>
      </c>
      <c r="H705" s="20" t="s">
        <v>47</v>
      </c>
    </row>
    <row r="706" spans="1:8">
      <c r="A706" s="15" t="s">
        <v>945</v>
      </c>
      <c r="B706" s="16" t="s">
        <v>69</v>
      </c>
      <c r="C706" s="8" t="s">
        <v>1105</v>
      </c>
      <c r="D706" s="17"/>
      <c r="E706" s="16" t="s">
        <v>11</v>
      </c>
      <c r="F706" s="18">
        <v>632774.51</v>
      </c>
      <c r="G706" s="20" t="s">
        <v>50</v>
      </c>
      <c r="H706" s="20" t="s">
        <v>47</v>
      </c>
    </row>
    <row r="707" spans="1:8">
      <c r="A707" s="15" t="s">
        <v>945</v>
      </c>
      <c r="B707" s="16" t="s">
        <v>69</v>
      </c>
      <c r="C707" s="8" t="s">
        <v>1281</v>
      </c>
      <c r="D707" s="17"/>
      <c r="E707" s="16" t="s">
        <v>11</v>
      </c>
      <c r="F707" s="18">
        <v>647150</v>
      </c>
      <c r="G707" s="19" t="s">
        <v>274</v>
      </c>
      <c r="H707" s="19" t="s">
        <v>47</v>
      </c>
    </row>
    <row r="708" ht="45" spans="1:8">
      <c r="A708" s="16" t="s">
        <v>1216</v>
      </c>
      <c r="B708" s="16" t="s">
        <v>25</v>
      </c>
      <c r="C708" s="8" t="s">
        <v>1282</v>
      </c>
      <c r="D708" s="23">
        <v>45813</v>
      </c>
      <c r="E708" s="16" t="s">
        <v>11</v>
      </c>
      <c r="F708" s="18">
        <v>654336.97</v>
      </c>
      <c r="G708" s="20" t="s">
        <v>393</v>
      </c>
      <c r="H708" s="20" t="s">
        <v>81</v>
      </c>
    </row>
    <row r="709" spans="1:8">
      <c r="A709" s="16" t="s">
        <v>945</v>
      </c>
      <c r="B709" s="16" t="s">
        <v>69</v>
      </c>
      <c r="C709" s="8" t="s">
        <v>958</v>
      </c>
      <c r="D709" s="17"/>
      <c r="E709" s="16" t="s">
        <v>11</v>
      </c>
      <c r="F709" s="18">
        <v>661723.34</v>
      </c>
      <c r="G709" s="20" t="s">
        <v>462</v>
      </c>
      <c r="H709" s="20" t="s">
        <v>47</v>
      </c>
    </row>
    <row r="710" spans="1:8">
      <c r="A710" s="16" t="s">
        <v>945</v>
      </c>
      <c r="B710" s="16" t="s">
        <v>69</v>
      </c>
      <c r="C710" s="8" t="s">
        <v>1283</v>
      </c>
      <c r="D710" s="17"/>
      <c r="E710" s="16" t="s">
        <v>11</v>
      </c>
      <c r="F710" s="18">
        <v>663389.55</v>
      </c>
      <c r="G710" s="20" t="s">
        <v>35</v>
      </c>
      <c r="H710" s="20" t="s">
        <v>24</v>
      </c>
    </row>
    <row r="711" spans="1:8">
      <c r="A711" s="16" t="s">
        <v>945</v>
      </c>
      <c r="B711" s="16" t="s">
        <v>69</v>
      </c>
      <c r="C711" s="8" t="s">
        <v>1124</v>
      </c>
      <c r="D711" s="17"/>
      <c r="E711" s="16" t="s">
        <v>11</v>
      </c>
      <c r="F711" s="18">
        <v>664277.59</v>
      </c>
      <c r="G711" s="20" t="s">
        <v>36</v>
      </c>
      <c r="H711" s="20" t="s">
        <v>36</v>
      </c>
    </row>
    <row r="712" spans="1:8">
      <c r="A712" s="15" t="s">
        <v>945</v>
      </c>
      <c r="B712" s="16" t="s">
        <v>69</v>
      </c>
      <c r="C712" s="8" t="s">
        <v>1284</v>
      </c>
      <c r="D712" s="17"/>
      <c r="E712" s="16" t="s">
        <v>11</v>
      </c>
      <c r="F712" s="18">
        <v>673940.41</v>
      </c>
      <c r="G712" s="19" t="s">
        <v>274</v>
      </c>
      <c r="H712" s="19" t="s">
        <v>47</v>
      </c>
    </row>
    <row r="713" spans="1:8">
      <c r="A713" s="15" t="s">
        <v>945</v>
      </c>
      <c r="B713" s="16" t="s">
        <v>69</v>
      </c>
      <c r="C713" s="8" t="s">
        <v>1285</v>
      </c>
      <c r="D713" s="17"/>
      <c r="E713" s="16" t="s">
        <v>11</v>
      </c>
      <c r="F713" s="18">
        <v>687294.24</v>
      </c>
      <c r="G713" s="19" t="s">
        <v>993</v>
      </c>
      <c r="H713" s="19" t="s">
        <v>47</v>
      </c>
    </row>
    <row r="714" ht="45" spans="1:8">
      <c r="A714" s="16" t="s">
        <v>1216</v>
      </c>
      <c r="B714" s="16" t="s">
        <v>25</v>
      </c>
      <c r="C714" s="8" t="s">
        <v>1286</v>
      </c>
      <c r="D714" s="23">
        <v>45813</v>
      </c>
      <c r="E714" s="16" t="s">
        <v>11</v>
      </c>
      <c r="F714" s="18">
        <v>691207.2</v>
      </c>
      <c r="G714" s="20" t="s">
        <v>1287</v>
      </c>
      <c r="H714" s="20" t="s">
        <v>67</v>
      </c>
    </row>
    <row r="715" ht="45" spans="1:8">
      <c r="A715" s="16" t="s">
        <v>1216</v>
      </c>
      <c r="B715" s="16" t="s">
        <v>25</v>
      </c>
      <c r="C715" s="8" t="s">
        <v>1288</v>
      </c>
      <c r="D715" s="23">
        <v>45813</v>
      </c>
      <c r="E715" s="16" t="s">
        <v>11</v>
      </c>
      <c r="F715" s="18">
        <v>702619.73</v>
      </c>
      <c r="G715" s="20" t="s">
        <v>616</v>
      </c>
      <c r="H715" s="20" t="s">
        <v>67</v>
      </c>
    </row>
    <row r="716" spans="1:8">
      <c r="A716" s="15" t="s">
        <v>945</v>
      </c>
      <c r="B716" s="16" t="s">
        <v>69</v>
      </c>
      <c r="C716" s="8" t="s">
        <v>1002</v>
      </c>
      <c r="D716" s="17"/>
      <c r="E716" s="16" t="s">
        <v>11</v>
      </c>
      <c r="F716" s="18">
        <v>704040.25</v>
      </c>
      <c r="G716" s="20" t="s">
        <v>718</v>
      </c>
      <c r="H716" s="20" t="s">
        <v>24</v>
      </c>
    </row>
    <row r="717" ht="45" spans="1:8">
      <c r="A717" s="16" t="s">
        <v>1216</v>
      </c>
      <c r="B717" s="16" t="s">
        <v>25</v>
      </c>
      <c r="C717" s="8" t="s">
        <v>1289</v>
      </c>
      <c r="D717" s="23">
        <v>45813</v>
      </c>
      <c r="E717" s="16" t="s">
        <v>11</v>
      </c>
      <c r="F717" s="18">
        <v>707712.25</v>
      </c>
      <c r="G717" s="20" t="s">
        <v>1290</v>
      </c>
      <c r="H717" s="20" t="s">
        <v>47</v>
      </c>
    </row>
    <row r="718" spans="1:8">
      <c r="A718" s="15" t="s">
        <v>945</v>
      </c>
      <c r="B718" s="16" t="s">
        <v>69</v>
      </c>
      <c r="C718" s="8" t="s">
        <v>1089</v>
      </c>
      <c r="D718" s="17"/>
      <c r="E718" s="16" t="s">
        <v>11</v>
      </c>
      <c r="F718" s="18">
        <v>715141.49</v>
      </c>
      <c r="G718" s="20" t="s">
        <v>66</v>
      </c>
      <c r="H718" s="20" t="s">
        <v>67</v>
      </c>
    </row>
    <row r="719" ht="45" spans="1:8">
      <c r="A719" s="16" t="s">
        <v>1216</v>
      </c>
      <c r="B719" s="16" t="s">
        <v>25</v>
      </c>
      <c r="C719" s="8" t="s">
        <v>1291</v>
      </c>
      <c r="D719" s="24" t="s">
        <v>1292</v>
      </c>
      <c r="E719" s="16" t="s">
        <v>11</v>
      </c>
      <c r="F719" s="18">
        <v>720496.4</v>
      </c>
      <c r="G719" s="20" t="s">
        <v>1293</v>
      </c>
      <c r="H719" s="20" t="s">
        <v>28</v>
      </c>
    </row>
    <row r="720" ht="45" spans="1:8">
      <c r="A720" s="16" t="s">
        <v>1216</v>
      </c>
      <c r="B720" s="16" t="s">
        <v>25</v>
      </c>
      <c r="C720" s="8" t="s">
        <v>1294</v>
      </c>
      <c r="D720" s="23">
        <v>45813</v>
      </c>
      <c r="E720" s="16" t="s">
        <v>11</v>
      </c>
      <c r="F720" s="18">
        <v>729188.56</v>
      </c>
      <c r="G720" s="20" t="s">
        <v>1295</v>
      </c>
      <c r="H720" s="20" t="s">
        <v>47</v>
      </c>
    </row>
    <row r="721" spans="1:8">
      <c r="A721" s="15" t="s">
        <v>945</v>
      </c>
      <c r="B721" s="16" t="s">
        <v>69</v>
      </c>
      <c r="C721" s="16" t="s">
        <v>1296</v>
      </c>
      <c r="D721" s="17"/>
      <c r="E721" s="16" t="s">
        <v>11</v>
      </c>
      <c r="F721" s="18">
        <v>779769.27</v>
      </c>
      <c r="G721" s="19" t="s">
        <v>1141</v>
      </c>
      <c r="H721" s="19" t="s">
        <v>47</v>
      </c>
    </row>
    <row r="722" ht="45" spans="1:8">
      <c r="A722" s="16" t="s">
        <v>1216</v>
      </c>
      <c r="B722" s="16" t="s">
        <v>25</v>
      </c>
      <c r="C722" s="8" t="s">
        <v>1297</v>
      </c>
      <c r="D722" s="23">
        <v>45813</v>
      </c>
      <c r="E722" s="16" t="s">
        <v>11</v>
      </c>
      <c r="F722" s="18">
        <v>785792.47</v>
      </c>
      <c r="G722" s="20" t="s">
        <v>1298</v>
      </c>
      <c r="H722" s="20" t="s">
        <v>67</v>
      </c>
    </row>
    <row r="723" spans="1:8">
      <c r="A723" s="15" t="s">
        <v>945</v>
      </c>
      <c r="B723" s="16" t="s">
        <v>69</v>
      </c>
      <c r="C723" s="8" t="s">
        <v>1299</v>
      </c>
      <c r="D723" s="17"/>
      <c r="E723" s="16" t="s">
        <v>11</v>
      </c>
      <c r="F723" s="18">
        <v>787162.02</v>
      </c>
      <c r="G723" s="20" t="s">
        <v>105</v>
      </c>
      <c r="H723" s="20" t="s">
        <v>81</v>
      </c>
    </row>
    <row r="724" spans="1:8">
      <c r="A724" s="15" t="s">
        <v>945</v>
      </c>
      <c r="B724" s="16" t="s">
        <v>69</v>
      </c>
      <c r="C724" s="8" t="s">
        <v>1101</v>
      </c>
      <c r="D724" s="17"/>
      <c r="E724" s="16" t="s">
        <v>11</v>
      </c>
      <c r="F724" s="18">
        <v>791869.38</v>
      </c>
      <c r="G724" s="20" t="s">
        <v>274</v>
      </c>
      <c r="H724" s="20" t="s">
        <v>47</v>
      </c>
    </row>
    <row r="725" spans="1:8">
      <c r="A725" s="17"/>
      <c r="B725" s="16" t="s">
        <v>12</v>
      </c>
      <c r="C725" s="8" t="s">
        <v>1300</v>
      </c>
      <c r="D725" s="17"/>
      <c r="E725" s="16" t="s">
        <v>11</v>
      </c>
      <c r="F725" s="18">
        <v>799848.81</v>
      </c>
      <c r="G725" s="20" t="s">
        <v>1301</v>
      </c>
      <c r="H725" s="20" t="s">
        <v>28</v>
      </c>
    </row>
    <row r="726" spans="1:8">
      <c r="A726" s="16" t="s">
        <v>945</v>
      </c>
      <c r="B726" s="16" t="s">
        <v>69</v>
      </c>
      <c r="C726" s="8" t="s">
        <v>1302</v>
      </c>
      <c r="D726" s="17"/>
      <c r="E726" s="16" t="s">
        <v>11</v>
      </c>
      <c r="F726" s="18">
        <v>800619.04</v>
      </c>
      <c r="G726" s="20" t="s">
        <v>619</v>
      </c>
      <c r="H726" s="20" t="s">
        <v>47</v>
      </c>
    </row>
    <row r="727" ht="45" spans="1:8">
      <c r="A727" s="16" t="s">
        <v>1216</v>
      </c>
      <c r="B727" s="16" t="s">
        <v>25</v>
      </c>
      <c r="C727" s="8" t="s">
        <v>1303</v>
      </c>
      <c r="D727" s="23">
        <v>45813</v>
      </c>
      <c r="E727" s="16" t="s">
        <v>11</v>
      </c>
      <c r="F727" s="18">
        <v>809430.37</v>
      </c>
      <c r="G727" s="20" t="s">
        <v>616</v>
      </c>
      <c r="H727" s="20" t="s">
        <v>67</v>
      </c>
    </row>
    <row r="728" ht="45" spans="1:8">
      <c r="A728" s="16" t="s">
        <v>1216</v>
      </c>
      <c r="B728" s="16" t="s">
        <v>25</v>
      </c>
      <c r="C728" s="8" t="s">
        <v>1304</v>
      </c>
      <c r="D728" s="23">
        <v>45813</v>
      </c>
      <c r="E728" s="16" t="s">
        <v>11</v>
      </c>
      <c r="F728" s="18">
        <v>839575.41</v>
      </c>
      <c r="G728" s="20" t="s">
        <v>616</v>
      </c>
      <c r="H728" s="20" t="s">
        <v>67</v>
      </c>
    </row>
    <row r="729" ht="45" spans="1:8">
      <c r="A729" s="16" t="s">
        <v>1216</v>
      </c>
      <c r="B729" s="16" t="s">
        <v>25</v>
      </c>
      <c r="C729" s="8" t="s">
        <v>1305</v>
      </c>
      <c r="D729" s="24" t="s">
        <v>1306</v>
      </c>
      <c r="E729" s="16" t="s">
        <v>11</v>
      </c>
      <c r="F729" s="18">
        <v>841573.68</v>
      </c>
      <c r="G729" s="20" t="s">
        <v>128</v>
      </c>
      <c r="H729" s="20" t="s">
        <v>47</v>
      </c>
    </row>
    <row r="730" ht="30" spans="1:8">
      <c r="A730" s="17"/>
      <c r="B730" s="16" t="s">
        <v>12</v>
      </c>
      <c r="C730" s="8" t="s">
        <v>1307</v>
      </c>
      <c r="D730" s="17"/>
      <c r="E730" s="16" t="s">
        <v>11</v>
      </c>
      <c r="F730" s="18">
        <v>849170.32</v>
      </c>
      <c r="G730" s="20" t="s">
        <v>1308</v>
      </c>
      <c r="H730" s="20" t="s">
        <v>28</v>
      </c>
    </row>
    <row r="731" spans="1:8">
      <c r="A731" s="15" t="s">
        <v>945</v>
      </c>
      <c r="B731" s="16" t="s">
        <v>69</v>
      </c>
      <c r="C731" s="8" t="s">
        <v>1309</v>
      </c>
      <c r="D731" s="17"/>
      <c r="E731" s="16" t="s">
        <v>11</v>
      </c>
      <c r="F731" s="18">
        <v>869856.24</v>
      </c>
      <c r="G731" s="19" t="s">
        <v>1018</v>
      </c>
      <c r="H731" s="19" t="s">
        <v>67</v>
      </c>
    </row>
    <row r="732" spans="1:8">
      <c r="A732" s="15" t="s">
        <v>945</v>
      </c>
      <c r="B732" s="16" t="s">
        <v>69</v>
      </c>
      <c r="C732" s="16" t="s">
        <v>1310</v>
      </c>
      <c r="D732" s="17"/>
      <c r="E732" s="16" t="s">
        <v>11</v>
      </c>
      <c r="F732" s="18">
        <v>876025.67</v>
      </c>
      <c r="G732" s="20" t="s">
        <v>50</v>
      </c>
      <c r="H732" s="20" t="s">
        <v>47</v>
      </c>
    </row>
    <row r="733" spans="1:8">
      <c r="A733" s="15" t="s">
        <v>945</v>
      </c>
      <c r="B733" s="16" t="s">
        <v>69</v>
      </c>
      <c r="C733" s="16" t="s">
        <v>1311</v>
      </c>
      <c r="D733" s="17"/>
      <c r="E733" s="16" t="s">
        <v>11</v>
      </c>
      <c r="F733" s="18">
        <v>912150.62</v>
      </c>
      <c r="G733" s="20" t="s">
        <v>232</v>
      </c>
      <c r="H733" s="20" t="s">
        <v>24</v>
      </c>
    </row>
    <row r="734" spans="1:8">
      <c r="A734" s="17"/>
      <c r="B734" s="16" t="s">
        <v>12</v>
      </c>
      <c r="C734" s="8" t="s">
        <v>1312</v>
      </c>
      <c r="D734" s="17"/>
      <c r="E734" s="16" t="s">
        <v>11</v>
      </c>
      <c r="F734" s="18">
        <v>928983.51</v>
      </c>
      <c r="G734" s="20" t="s">
        <v>1313</v>
      </c>
      <c r="H734" s="20" t="s">
        <v>47</v>
      </c>
    </row>
    <row r="735" spans="1:8">
      <c r="A735" s="15" t="s">
        <v>945</v>
      </c>
      <c r="B735" s="16" t="s">
        <v>69</v>
      </c>
      <c r="C735" s="8" t="s">
        <v>1314</v>
      </c>
      <c r="D735" s="17"/>
      <c r="E735" s="16" t="s">
        <v>11</v>
      </c>
      <c r="F735" s="18">
        <v>929569.08</v>
      </c>
      <c r="G735" s="20" t="s">
        <v>976</v>
      </c>
      <c r="H735" s="20" t="s">
        <v>67</v>
      </c>
    </row>
    <row r="736" spans="1:8">
      <c r="A736" s="15" t="s">
        <v>945</v>
      </c>
      <c r="B736" s="16" t="s">
        <v>69</v>
      </c>
      <c r="C736" s="8" t="s">
        <v>1315</v>
      </c>
      <c r="D736" s="17"/>
      <c r="E736" s="16" t="s">
        <v>11</v>
      </c>
      <c r="F736" s="18">
        <v>966719.35</v>
      </c>
      <c r="G736" s="20" t="s">
        <v>474</v>
      </c>
      <c r="H736" s="20" t="s">
        <v>28</v>
      </c>
    </row>
    <row r="737" spans="1:8">
      <c r="A737" s="17"/>
      <c r="B737" s="16" t="s">
        <v>138</v>
      </c>
      <c r="C737" s="8" t="s">
        <v>1316</v>
      </c>
      <c r="D737" s="17"/>
      <c r="E737" s="16" t="s">
        <v>11</v>
      </c>
      <c r="F737" s="18">
        <v>977282.96</v>
      </c>
      <c r="G737" s="20" t="s">
        <v>36</v>
      </c>
      <c r="H737" s="20" t="s">
        <v>1239</v>
      </c>
    </row>
    <row r="738" spans="1:8">
      <c r="A738" s="16" t="s">
        <v>945</v>
      </c>
      <c r="B738" s="16" t="s">
        <v>69</v>
      </c>
      <c r="C738" s="8" t="s">
        <v>1069</v>
      </c>
      <c r="D738" s="17"/>
      <c r="E738" s="16" t="s">
        <v>11</v>
      </c>
      <c r="F738" s="18">
        <v>989664.28</v>
      </c>
      <c r="G738" s="20" t="s">
        <v>1070</v>
      </c>
      <c r="H738" s="20" t="s">
        <v>47</v>
      </c>
    </row>
    <row r="739" spans="1:8">
      <c r="A739" s="17"/>
      <c r="B739" s="16" t="s">
        <v>138</v>
      </c>
      <c r="C739" s="8" t="s">
        <v>1317</v>
      </c>
      <c r="D739" s="17"/>
      <c r="E739" s="24" t="s">
        <v>11</v>
      </c>
      <c r="F739" s="18">
        <v>992271.46</v>
      </c>
      <c r="G739" s="20" t="s">
        <v>36</v>
      </c>
      <c r="H739" s="20" t="s">
        <v>36</v>
      </c>
    </row>
    <row r="740" spans="1:8">
      <c r="A740" s="15" t="s">
        <v>945</v>
      </c>
      <c r="B740" s="16" t="s">
        <v>69</v>
      </c>
      <c r="C740" s="8" t="s">
        <v>1318</v>
      </c>
      <c r="D740" s="17"/>
      <c r="E740" s="16" t="s">
        <v>11</v>
      </c>
      <c r="F740" s="18">
        <v>999835.69</v>
      </c>
      <c r="G740" s="20" t="s">
        <v>36</v>
      </c>
      <c r="H740" s="20" t="s">
        <v>36</v>
      </c>
    </row>
    <row r="741" ht="45" spans="1:8">
      <c r="A741" s="16" t="s">
        <v>1216</v>
      </c>
      <c r="B741" s="16" t="s">
        <v>61</v>
      </c>
      <c r="C741" s="16" t="s">
        <v>1217</v>
      </c>
      <c r="D741" s="17"/>
      <c r="E741" s="16" t="s">
        <v>11</v>
      </c>
      <c r="F741" s="18">
        <v>1027326.41</v>
      </c>
      <c r="G741" s="20" t="s">
        <v>1319</v>
      </c>
      <c r="H741" s="20" t="s">
        <v>1320</v>
      </c>
    </row>
    <row r="742" spans="1:8">
      <c r="A742" s="15" t="s">
        <v>945</v>
      </c>
      <c r="B742" s="16" t="s">
        <v>69</v>
      </c>
      <c r="C742" s="8" t="s">
        <v>1321</v>
      </c>
      <c r="D742" s="17"/>
      <c r="E742" s="16" t="s">
        <v>11</v>
      </c>
      <c r="F742" s="18">
        <v>1033938.02</v>
      </c>
      <c r="G742" s="19" t="s">
        <v>1012</v>
      </c>
      <c r="H742" s="19" t="s">
        <v>28</v>
      </c>
    </row>
    <row r="743" ht="45" spans="1:8">
      <c r="A743" s="16" t="s">
        <v>1216</v>
      </c>
      <c r="B743" s="16" t="s">
        <v>25</v>
      </c>
      <c r="C743" s="8" t="s">
        <v>1322</v>
      </c>
      <c r="D743" s="23">
        <v>45813</v>
      </c>
      <c r="E743" s="16" t="s">
        <v>11</v>
      </c>
      <c r="F743" s="18">
        <v>1041857.14</v>
      </c>
      <c r="G743" s="20" t="s">
        <v>616</v>
      </c>
      <c r="H743" s="20" t="s">
        <v>67</v>
      </c>
    </row>
    <row r="744" spans="1:8">
      <c r="A744" s="17"/>
      <c r="B744" s="16" t="s">
        <v>12</v>
      </c>
      <c r="C744" s="8" t="s">
        <v>1323</v>
      </c>
      <c r="D744" s="17"/>
      <c r="E744" s="16" t="s">
        <v>11</v>
      </c>
      <c r="F744" s="18">
        <v>1069997.66</v>
      </c>
      <c r="G744" s="20" t="s">
        <v>27</v>
      </c>
      <c r="H744" s="20" t="s">
        <v>28</v>
      </c>
    </row>
    <row r="745" spans="1:8">
      <c r="A745" s="17"/>
      <c r="B745" s="16" t="s">
        <v>12</v>
      </c>
      <c r="C745" s="8" t="s">
        <v>1324</v>
      </c>
      <c r="D745" s="17"/>
      <c r="E745" s="16" t="s">
        <v>11</v>
      </c>
      <c r="F745" s="18">
        <v>1081457.45</v>
      </c>
      <c r="G745" s="20" t="s">
        <v>1287</v>
      </c>
      <c r="H745" s="20" t="s">
        <v>28</v>
      </c>
    </row>
    <row r="746" spans="1:8">
      <c r="A746" s="16" t="s">
        <v>945</v>
      </c>
      <c r="B746" s="16" t="s">
        <v>69</v>
      </c>
      <c r="C746" s="8" t="s">
        <v>1325</v>
      </c>
      <c r="D746" s="17"/>
      <c r="E746" s="16" t="s">
        <v>11</v>
      </c>
      <c r="F746" s="18">
        <v>1093660.17</v>
      </c>
      <c r="G746" s="19" t="s">
        <v>462</v>
      </c>
      <c r="H746" s="19" t="s">
        <v>47</v>
      </c>
    </row>
    <row r="747" spans="1:8">
      <c r="A747" s="17"/>
      <c r="B747" s="16" t="s">
        <v>138</v>
      </c>
      <c r="C747" s="8" t="s">
        <v>1326</v>
      </c>
      <c r="D747" s="17"/>
      <c r="E747" s="16" t="s">
        <v>11</v>
      </c>
      <c r="F747" s="18">
        <v>1205377.03</v>
      </c>
      <c r="G747" s="20" t="s">
        <v>46</v>
      </c>
      <c r="H747" s="20" t="s">
        <v>47</v>
      </c>
    </row>
    <row r="748" spans="1:8">
      <c r="A748" s="17"/>
      <c r="B748" s="16" t="s">
        <v>138</v>
      </c>
      <c r="C748" s="8" t="s">
        <v>1327</v>
      </c>
      <c r="D748" s="17"/>
      <c r="E748" s="16" t="s">
        <v>11</v>
      </c>
      <c r="F748" s="18">
        <v>1205377.03</v>
      </c>
      <c r="G748" s="20" t="s">
        <v>462</v>
      </c>
      <c r="H748" s="20" t="s">
        <v>47</v>
      </c>
    </row>
    <row r="749" spans="1:8">
      <c r="A749" s="15" t="s">
        <v>945</v>
      </c>
      <c r="B749" s="16" t="s">
        <v>69</v>
      </c>
      <c r="C749" s="8" t="s">
        <v>1328</v>
      </c>
      <c r="D749" s="17"/>
      <c r="E749" s="16" t="s">
        <v>11</v>
      </c>
      <c r="F749" s="18">
        <v>1292846.65</v>
      </c>
      <c r="G749" s="20" t="s">
        <v>74</v>
      </c>
      <c r="H749" s="20" t="s">
        <v>24</v>
      </c>
    </row>
    <row r="750" spans="1:8">
      <c r="A750" s="15" t="s">
        <v>945</v>
      </c>
      <c r="B750" s="16" t="s">
        <v>69</v>
      </c>
      <c r="C750" s="8" t="s">
        <v>1329</v>
      </c>
      <c r="D750" s="17"/>
      <c r="E750" s="16" t="s">
        <v>11</v>
      </c>
      <c r="F750" s="18">
        <v>1308071.96</v>
      </c>
      <c r="G750" s="20" t="s">
        <v>630</v>
      </c>
      <c r="H750" s="20" t="s">
        <v>47</v>
      </c>
    </row>
    <row r="751" spans="1:8">
      <c r="A751" s="16" t="s">
        <v>945</v>
      </c>
      <c r="B751" s="16" t="s">
        <v>69</v>
      </c>
      <c r="C751" s="8" t="s">
        <v>1330</v>
      </c>
      <c r="D751" s="17"/>
      <c r="E751" s="16" t="s">
        <v>11</v>
      </c>
      <c r="F751" s="18">
        <v>1310118.59</v>
      </c>
      <c r="G751" s="19" t="s">
        <v>336</v>
      </c>
      <c r="H751" s="19" t="s">
        <v>24</v>
      </c>
    </row>
    <row r="752" spans="1:8">
      <c r="A752" s="16" t="s">
        <v>945</v>
      </c>
      <c r="B752" s="16" t="s">
        <v>69</v>
      </c>
      <c r="C752" s="8" t="s">
        <v>1069</v>
      </c>
      <c r="D752" s="17"/>
      <c r="E752" s="16" t="s">
        <v>11</v>
      </c>
      <c r="F752" s="18">
        <v>1326265.33</v>
      </c>
      <c r="G752" s="20" t="s">
        <v>1070</v>
      </c>
      <c r="H752" s="20" t="s">
        <v>47</v>
      </c>
    </row>
    <row r="753" spans="1:8">
      <c r="A753" s="17"/>
      <c r="B753" s="16" t="s">
        <v>138</v>
      </c>
      <c r="C753" s="16" t="s">
        <v>1331</v>
      </c>
      <c r="D753" s="17"/>
      <c r="E753" s="16" t="s">
        <v>11</v>
      </c>
      <c r="F753" s="18">
        <v>1355047.19</v>
      </c>
      <c r="G753" s="20" t="s">
        <v>36</v>
      </c>
      <c r="H753" s="20" t="s">
        <v>36</v>
      </c>
    </row>
    <row r="754" spans="1:8">
      <c r="A754" s="15" t="s">
        <v>945</v>
      </c>
      <c r="B754" s="16" t="s">
        <v>69</v>
      </c>
      <c r="C754" s="8" t="s">
        <v>1332</v>
      </c>
      <c r="D754" s="17"/>
      <c r="E754" s="16" t="s">
        <v>11</v>
      </c>
      <c r="F754" s="18">
        <v>1376670.06</v>
      </c>
      <c r="G754" s="19" t="s">
        <v>274</v>
      </c>
      <c r="H754" s="19" t="s">
        <v>47</v>
      </c>
    </row>
    <row r="755" spans="1:8">
      <c r="A755" s="17"/>
      <c r="B755" s="16" t="s">
        <v>138</v>
      </c>
      <c r="C755" s="8" t="s">
        <v>1333</v>
      </c>
      <c r="D755" s="17"/>
      <c r="E755" s="16" t="s">
        <v>11</v>
      </c>
      <c r="F755" s="18">
        <v>1384125.11</v>
      </c>
      <c r="G755" s="20" t="s">
        <v>36</v>
      </c>
      <c r="H755" s="20" t="s">
        <v>36</v>
      </c>
    </row>
    <row r="756" spans="1:8">
      <c r="A756" s="17"/>
      <c r="B756" s="16" t="s">
        <v>12</v>
      </c>
      <c r="C756" s="8" t="s">
        <v>1334</v>
      </c>
      <c r="D756" s="17"/>
      <c r="E756" s="16" t="s">
        <v>11</v>
      </c>
      <c r="F756" s="18">
        <v>1496058.9</v>
      </c>
      <c r="G756" s="20" t="s">
        <v>238</v>
      </c>
      <c r="H756" s="20" t="s">
        <v>24</v>
      </c>
    </row>
    <row r="757" spans="1:8">
      <c r="A757" s="17"/>
      <c r="B757" s="16" t="s">
        <v>138</v>
      </c>
      <c r="C757" s="8" t="s">
        <v>1335</v>
      </c>
      <c r="D757" s="17"/>
      <c r="E757" s="16" t="s">
        <v>11</v>
      </c>
      <c r="F757" s="18">
        <v>1497835.6</v>
      </c>
      <c r="G757" s="20" t="s">
        <v>36</v>
      </c>
      <c r="H757" s="20" t="s">
        <v>1239</v>
      </c>
    </row>
    <row r="758" spans="1:8">
      <c r="A758" s="15" t="s">
        <v>945</v>
      </c>
      <c r="B758" s="16" t="s">
        <v>69</v>
      </c>
      <c r="C758" s="8" t="s">
        <v>1336</v>
      </c>
      <c r="D758" s="17"/>
      <c r="E758" s="16" t="s">
        <v>11</v>
      </c>
      <c r="F758" s="18">
        <v>1502419.42</v>
      </c>
      <c r="G758" s="19" t="s">
        <v>616</v>
      </c>
      <c r="H758" s="19" t="s">
        <v>67</v>
      </c>
    </row>
    <row r="759" spans="1:8">
      <c r="A759" s="17"/>
      <c r="B759" s="16" t="s">
        <v>12</v>
      </c>
      <c r="C759" s="8" t="s">
        <v>1337</v>
      </c>
      <c r="D759" s="17"/>
      <c r="E759" s="16" t="s">
        <v>11</v>
      </c>
      <c r="F759" s="18">
        <v>1578900</v>
      </c>
      <c r="G759" s="20" t="s">
        <v>23</v>
      </c>
      <c r="H759" s="20" t="s">
        <v>28</v>
      </c>
    </row>
    <row r="760" spans="1:8">
      <c r="A760" s="16" t="s">
        <v>945</v>
      </c>
      <c r="B760" s="16" t="s">
        <v>69</v>
      </c>
      <c r="C760" s="8" t="s">
        <v>1338</v>
      </c>
      <c r="D760" s="17"/>
      <c r="E760" s="16" t="s">
        <v>11</v>
      </c>
      <c r="F760" s="18">
        <v>1661426.96</v>
      </c>
      <c r="G760" s="19" t="s">
        <v>36</v>
      </c>
      <c r="H760" s="19" t="s">
        <v>760</v>
      </c>
    </row>
    <row r="761" spans="1:8">
      <c r="A761" s="15" t="s">
        <v>945</v>
      </c>
      <c r="B761" s="16" t="s">
        <v>69</v>
      </c>
      <c r="C761" s="8" t="s">
        <v>1339</v>
      </c>
      <c r="D761" s="17"/>
      <c r="E761" s="16" t="s">
        <v>11</v>
      </c>
      <c r="F761" s="18">
        <v>1724443.08</v>
      </c>
      <c r="G761" s="19" t="s">
        <v>66</v>
      </c>
      <c r="H761" s="19" t="s">
        <v>67</v>
      </c>
    </row>
    <row r="762" spans="1:8">
      <c r="A762" s="15" t="s">
        <v>945</v>
      </c>
      <c r="B762" s="16" t="s">
        <v>69</v>
      </c>
      <c r="C762" s="8" t="s">
        <v>1340</v>
      </c>
      <c r="D762" s="17"/>
      <c r="E762" s="16" t="s">
        <v>11</v>
      </c>
      <c r="F762" s="18">
        <v>1745528.72</v>
      </c>
      <c r="G762" s="19" t="s">
        <v>356</v>
      </c>
      <c r="H762" s="19" t="s">
        <v>67</v>
      </c>
    </row>
    <row r="763" ht="45" spans="1:8">
      <c r="A763" s="16" t="s">
        <v>1216</v>
      </c>
      <c r="B763" s="16" t="s">
        <v>25</v>
      </c>
      <c r="C763" s="16" t="s">
        <v>1341</v>
      </c>
      <c r="D763" s="23">
        <v>45568</v>
      </c>
      <c r="E763" s="16" t="s">
        <v>11</v>
      </c>
      <c r="F763" s="18">
        <v>1832566.17</v>
      </c>
      <c r="G763" s="20" t="s">
        <v>1293</v>
      </c>
      <c r="H763" s="20" t="s">
        <v>28</v>
      </c>
    </row>
    <row r="764" spans="1:8">
      <c r="A764" s="15" t="s">
        <v>945</v>
      </c>
      <c r="B764" s="16" t="s">
        <v>69</v>
      </c>
      <c r="C764" s="8" t="s">
        <v>1342</v>
      </c>
      <c r="D764" s="17"/>
      <c r="E764" s="16" t="s">
        <v>11</v>
      </c>
      <c r="F764" s="18">
        <v>1867738.62</v>
      </c>
      <c r="G764" s="19" t="s">
        <v>1234</v>
      </c>
      <c r="H764" s="19" t="s">
        <v>24</v>
      </c>
    </row>
    <row r="765" spans="1:8">
      <c r="A765" s="16" t="s">
        <v>945</v>
      </c>
      <c r="B765" s="16" t="s">
        <v>69</v>
      </c>
      <c r="C765" s="8" t="s">
        <v>1343</v>
      </c>
      <c r="D765" s="17"/>
      <c r="E765" s="16" t="s">
        <v>11</v>
      </c>
      <c r="F765" s="18">
        <v>2009045.21</v>
      </c>
      <c r="G765" s="20" t="s">
        <v>596</v>
      </c>
      <c r="H765" s="20" t="s">
        <v>36</v>
      </c>
    </row>
    <row r="766" spans="1:8">
      <c r="A766" s="15" t="s">
        <v>945</v>
      </c>
      <c r="B766" s="16" t="s">
        <v>69</v>
      </c>
      <c r="C766" s="8" t="s">
        <v>1344</v>
      </c>
      <c r="D766" s="17"/>
      <c r="E766" s="16" t="s">
        <v>11</v>
      </c>
      <c r="F766" s="18">
        <v>2030941.19</v>
      </c>
      <c r="G766" s="19" t="s">
        <v>46</v>
      </c>
      <c r="H766" s="19" t="s">
        <v>47</v>
      </c>
    </row>
    <row r="767" spans="1:8">
      <c r="A767" s="15" t="s">
        <v>945</v>
      </c>
      <c r="B767" s="16" t="s">
        <v>69</v>
      </c>
      <c r="C767" s="8" t="s">
        <v>1345</v>
      </c>
      <c r="D767" s="17"/>
      <c r="E767" s="16" t="s">
        <v>11</v>
      </c>
      <c r="F767" s="18">
        <v>2404868.76</v>
      </c>
      <c r="G767" s="19" t="s">
        <v>274</v>
      </c>
      <c r="H767" s="19" t="s">
        <v>47</v>
      </c>
    </row>
    <row r="768" ht="60" spans="1:8">
      <c r="A768" s="16" t="s">
        <v>1216</v>
      </c>
      <c r="B768" s="16" t="s">
        <v>61</v>
      </c>
      <c r="C768" s="16" t="s">
        <v>1217</v>
      </c>
      <c r="D768" s="17"/>
      <c r="E768" s="16" t="s">
        <v>11</v>
      </c>
      <c r="F768" s="18">
        <v>2542247.44</v>
      </c>
      <c r="G768" s="20" t="s">
        <v>1346</v>
      </c>
      <c r="H768" s="20" t="s">
        <v>1347</v>
      </c>
    </row>
    <row r="769" spans="1:8">
      <c r="A769" s="17"/>
      <c r="B769" s="16" t="s">
        <v>138</v>
      </c>
      <c r="C769" s="8" t="s">
        <v>1348</v>
      </c>
      <c r="D769" s="17"/>
      <c r="E769" s="16" t="s">
        <v>11</v>
      </c>
      <c r="F769" s="18">
        <v>3484222.31</v>
      </c>
      <c r="G769" s="20" t="s">
        <v>232</v>
      </c>
      <c r="H769" s="20" t="s">
        <v>24</v>
      </c>
    </row>
    <row r="770" spans="1:8">
      <c r="A770" s="17"/>
      <c r="B770" s="16" t="s">
        <v>138</v>
      </c>
      <c r="C770" s="8" t="s">
        <v>1349</v>
      </c>
      <c r="D770" s="17"/>
      <c r="E770" s="16" t="s">
        <v>11</v>
      </c>
      <c r="F770" s="18">
        <v>3570682.1</v>
      </c>
      <c r="G770" s="20" t="s">
        <v>232</v>
      </c>
      <c r="H770" s="20" t="s">
        <v>24</v>
      </c>
    </row>
    <row r="771" spans="1:8">
      <c r="A771" s="17"/>
      <c r="B771" s="16" t="s">
        <v>138</v>
      </c>
      <c r="C771" s="8" t="s">
        <v>1350</v>
      </c>
      <c r="D771" s="17"/>
      <c r="E771" s="16" t="s">
        <v>11</v>
      </c>
      <c r="F771" s="18">
        <v>4052697.44</v>
      </c>
      <c r="G771" s="20" t="s">
        <v>36</v>
      </c>
      <c r="H771" s="20" t="s">
        <v>36</v>
      </c>
    </row>
    <row r="772" ht="105" spans="1:8">
      <c r="A772" s="16" t="s">
        <v>1216</v>
      </c>
      <c r="B772" s="16" t="s">
        <v>61</v>
      </c>
      <c r="C772" s="16" t="s">
        <v>1217</v>
      </c>
      <c r="D772" s="17"/>
      <c r="E772" s="16" t="s">
        <v>11</v>
      </c>
      <c r="F772" s="18">
        <v>4310294.03</v>
      </c>
      <c r="G772" s="20" t="s">
        <v>1351</v>
      </c>
      <c r="H772" s="20" t="s">
        <v>1352</v>
      </c>
    </row>
    <row r="773" ht="45" spans="1:8">
      <c r="A773" s="16" t="s">
        <v>1216</v>
      </c>
      <c r="B773" s="16" t="s">
        <v>61</v>
      </c>
      <c r="C773" s="16" t="s">
        <v>1217</v>
      </c>
      <c r="D773" s="17"/>
      <c r="E773" s="16" t="s">
        <v>11</v>
      </c>
      <c r="F773" s="18">
        <v>5641684.78</v>
      </c>
      <c r="G773" s="20" t="s">
        <v>1353</v>
      </c>
      <c r="H773" s="20" t="s">
        <v>1347</v>
      </c>
    </row>
    <row r="774" spans="1:8">
      <c r="A774" s="17"/>
      <c r="B774" s="16" t="s">
        <v>138</v>
      </c>
      <c r="C774" s="8" t="s">
        <v>1354</v>
      </c>
      <c r="D774" s="17"/>
      <c r="E774" s="16" t="s">
        <v>11</v>
      </c>
      <c r="F774" s="18">
        <v>112190424</v>
      </c>
      <c r="G774" s="20" t="s">
        <v>609</v>
      </c>
      <c r="H774" s="20" t="s">
        <v>81</v>
      </c>
    </row>
    <row r="775" spans="1:8">
      <c r="A775" s="17"/>
      <c r="B775" s="17"/>
      <c r="C775" s="17"/>
      <c r="D775" s="17"/>
      <c r="E775" s="17"/>
      <c r="F775" s="25"/>
      <c r="G775" s="16"/>
      <c r="H775" s="16"/>
    </row>
    <row r="776" spans="1:8">
      <c r="A776" s="17"/>
      <c r="B776" s="17"/>
      <c r="C776" s="17"/>
      <c r="D776" s="17"/>
      <c r="E776" s="17"/>
      <c r="F776" s="25"/>
      <c r="G776" s="16"/>
      <c r="H776" s="16"/>
    </row>
    <row r="777" spans="1:8">
      <c r="A777" s="17"/>
      <c r="B777" s="17"/>
      <c r="C777" s="17"/>
      <c r="D777" s="17"/>
      <c r="E777" s="17"/>
      <c r="F777" s="25"/>
      <c r="G777" s="16"/>
      <c r="H777" s="16"/>
    </row>
    <row r="778" spans="1:8">
      <c r="A778" s="17"/>
      <c r="B778" s="17"/>
      <c r="C778" s="17"/>
      <c r="D778" s="17"/>
      <c r="E778" s="17"/>
      <c r="F778" s="25"/>
      <c r="G778" s="16"/>
      <c r="H778" s="16"/>
    </row>
    <row r="779" spans="1:8">
      <c r="A779" s="17"/>
      <c r="B779" s="17"/>
      <c r="C779" s="17"/>
      <c r="D779" s="17"/>
      <c r="E779" s="17"/>
      <c r="F779" s="25"/>
      <c r="G779" s="16"/>
      <c r="H779" s="16"/>
    </row>
    <row r="780" spans="1:8">
      <c r="A780" s="17"/>
      <c r="B780" s="17"/>
      <c r="C780" s="17"/>
      <c r="D780" s="17"/>
      <c r="E780" s="17"/>
      <c r="F780" s="25"/>
      <c r="G780" s="16"/>
      <c r="H780" s="16"/>
    </row>
    <row r="781" spans="1:8">
      <c r="A781" s="17"/>
      <c r="B781" s="17"/>
      <c r="C781" s="17"/>
      <c r="D781" s="17"/>
      <c r="E781" s="17"/>
      <c r="F781" s="25"/>
      <c r="G781" s="16"/>
      <c r="H781" s="16"/>
    </row>
    <row r="782" spans="1:8">
      <c r="A782" s="17"/>
      <c r="B782" s="17"/>
      <c r="C782" s="17"/>
      <c r="D782" s="17"/>
      <c r="E782" s="17"/>
      <c r="F782" s="25"/>
      <c r="G782" s="16"/>
      <c r="H782" s="16"/>
    </row>
    <row r="783" spans="1:8">
      <c r="A783" s="17"/>
      <c r="B783" s="17"/>
      <c r="C783" s="17"/>
      <c r="D783" s="17"/>
      <c r="E783" s="17"/>
      <c r="F783" s="25"/>
      <c r="G783" s="16"/>
      <c r="H783" s="16"/>
    </row>
    <row r="784" spans="1:8">
      <c r="A784" s="17"/>
      <c r="B784" s="17"/>
      <c r="C784" s="17"/>
      <c r="D784" s="17"/>
      <c r="E784" s="17"/>
      <c r="F784" s="25"/>
      <c r="G784" s="16"/>
      <c r="H784" s="16"/>
    </row>
    <row r="785" spans="1:8">
      <c r="A785" s="17"/>
      <c r="B785" s="17"/>
      <c r="C785" s="17"/>
      <c r="D785" s="17"/>
      <c r="E785" s="17"/>
      <c r="F785" s="25"/>
      <c r="G785" s="16"/>
      <c r="H785" s="16"/>
    </row>
    <row r="786" spans="1:8">
      <c r="A786" s="17"/>
      <c r="B786" s="17"/>
      <c r="C786" s="17"/>
      <c r="D786" s="17"/>
      <c r="E786" s="17"/>
      <c r="F786" s="25"/>
      <c r="G786" s="16"/>
      <c r="H786" s="16"/>
    </row>
    <row r="787" spans="1:8">
      <c r="A787" s="17"/>
      <c r="B787" s="17"/>
      <c r="C787" s="17"/>
      <c r="D787" s="17"/>
      <c r="E787" s="17"/>
      <c r="F787" s="25"/>
      <c r="G787" s="16"/>
      <c r="H787" s="16"/>
    </row>
    <row r="788" spans="1:8">
      <c r="A788" s="17"/>
      <c r="B788" s="17"/>
      <c r="C788" s="17"/>
      <c r="D788" s="17"/>
      <c r="E788" s="17"/>
      <c r="F788" s="25"/>
      <c r="G788" s="16"/>
      <c r="H788" s="16"/>
    </row>
    <row r="789" spans="1:8">
      <c r="A789" s="17"/>
      <c r="B789" s="17"/>
      <c r="C789" s="17"/>
      <c r="D789" s="17"/>
      <c r="E789" s="17"/>
      <c r="F789" s="25"/>
      <c r="G789" s="16"/>
      <c r="H789" s="16"/>
    </row>
    <row r="790" spans="1:8">
      <c r="A790" s="17"/>
      <c r="B790" s="17"/>
      <c r="C790" s="17"/>
      <c r="D790" s="17"/>
      <c r="E790" s="17"/>
      <c r="F790" s="25"/>
      <c r="G790" s="16"/>
      <c r="H790" s="16"/>
    </row>
    <row r="791" spans="1:8">
      <c r="A791" s="17"/>
      <c r="B791" s="17"/>
      <c r="C791" s="17"/>
      <c r="D791" s="17"/>
      <c r="E791" s="17"/>
      <c r="F791" s="25"/>
      <c r="G791" s="16"/>
      <c r="H791" s="16"/>
    </row>
    <row r="792" spans="1:8">
      <c r="A792" s="17"/>
      <c r="B792" s="17"/>
      <c r="C792" s="17"/>
      <c r="D792" s="17"/>
      <c r="E792" s="17"/>
      <c r="F792" s="25"/>
      <c r="G792" s="16"/>
      <c r="H792" s="16"/>
    </row>
    <row r="793" spans="1:8">
      <c r="A793" s="17"/>
      <c r="B793" s="17"/>
      <c r="C793" s="17"/>
      <c r="D793" s="17"/>
      <c r="E793" s="17"/>
      <c r="F793" s="25"/>
      <c r="G793" s="16"/>
      <c r="H793" s="16"/>
    </row>
    <row r="794" spans="1:8">
      <c r="A794" s="17"/>
      <c r="B794" s="17"/>
      <c r="C794" s="17"/>
      <c r="D794" s="17"/>
      <c r="E794" s="17"/>
      <c r="F794" s="25"/>
      <c r="G794" s="16"/>
      <c r="H794" s="16"/>
    </row>
    <row r="795" spans="1:8">
      <c r="A795" s="17"/>
      <c r="B795" s="17"/>
      <c r="C795" s="17"/>
      <c r="D795" s="17"/>
      <c r="E795" s="17"/>
      <c r="F795" s="25"/>
      <c r="G795" s="16"/>
      <c r="H795" s="16"/>
    </row>
    <row r="796" spans="1:8">
      <c r="A796" s="17"/>
      <c r="B796" s="17"/>
      <c r="C796" s="17"/>
      <c r="D796" s="17"/>
      <c r="E796" s="17"/>
      <c r="F796" s="25"/>
      <c r="G796" s="16"/>
      <c r="H796" s="16"/>
    </row>
    <row r="797" spans="1:8">
      <c r="A797" s="17"/>
      <c r="B797" s="17"/>
      <c r="C797" s="17"/>
      <c r="D797" s="17"/>
      <c r="E797" s="17"/>
      <c r="F797" s="25"/>
      <c r="G797" s="16"/>
      <c r="H797" s="16"/>
    </row>
    <row r="798" spans="1:8">
      <c r="A798" s="17"/>
      <c r="B798" s="17"/>
      <c r="C798" s="17"/>
      <c r="D798" s="17"/>
      <c r="E798" s="17"/>
      <c r="F798" s="25"/>
      <c r="G798" s="16"/>
      <c r="H798" s="16"/>
    </row>
    <row r="799" spans="1:8">
      <c r="A799" s="17"/>
      <c r="B799" s="17"/>
      <c r="C799" s="17"/>
      <c r="D799" s="17"/>
      <c r="E799" s="17"/>
      <c r="F799" s="25"/>
      <c r="G799" s="16"/>
      <c r="H799" s="16"/>
    </row>
    <row r="800" spans="1:8">
      <c r="A800" s="17"/>
      <c r="B800" s="17"/>
      <c r="C800" s="17"/>
      <c r="D800" s="17"/>
      <c r="E800" s="17"/>
      <c r="F800" s="25"/>
      <c r="G800" s="16"/>
      <c r="H800" s="16"/>
    </row>
    <row r="801" spans="1:8">
      <c r="A801" s="17"/>
      <c r="B801" s="17"/>
      <c r="C801" s="17"/>
      <c r="D801" s="17"/>
      <c r="E801" s="17"/>
      <c r="F801" s="25"/>
      <c r="G801" s="16"/>
      <c r="H801" s="16"/>
    </row>
    <row r="802" spans="1:8">
      <c r="A802" s="17"/>
      <c r="B802" s="17"/>
      <c r="C802" s="17"/>
      <c r="D802" s="17"/>
      <c r="E802" s="17"/>
      <c r="F802" s="25"/>
      <c r="G802" s="16"/>
      <c r="H802" s="16"/>
    </row>
    <row r="803" spans="1:8">
      <c r="A803" s="17"/>
      <c r="B803" s="17"/>
      <c r="C803" s="17"/>
      <c r="D803" s="17"/>
      <c r="E803" s="17"/>
      <c r="F803" s="25"/>
      <c r="G803" s="16"/>
      <c r="H803" s="16"/>
    </row>
    <row r="804" spans="1:8">
      <c r="A804" s="17"/>
      <c r="B804" s="17"/>
      <c r="C804" s="17"/>
      <c r="D804" s="17"/>
      <c r="E804" s="17"/>
      <c r="F804" s="25"/>
      <c r="G804" s="16"/>
      <c r="H804" s="16"/>
    </row>
    <row r="805" spans="1:8">
      <c r="A805" s="17"/>
      <c r="B805" s="17"/>
      <c r="C805" s="17"/>
      <c r="D805" s="17"/>
      <c r="E805" s="17"/>
      <c r="F805" s="25"/>
      <c r="G805" s="16"/>
      <c r="H805" s="16"/>
    </row>
    <row r="806" spans="1:8">
      <c r="A806" s="17"/>
      <c r="B806" s="17"/>
      <c r="C806" s="17"/>
      <c r="D806" s="17"/>
      <c r="E806" s="17"/>
      <c r="F806" s="25"/>
      <c r="G806" s="16"/>
      <c r="H806" s="16"/>
    </row>
    <row r="807" spans="1:8">
      <c r="A807" s="17"/>
      <c r="B807" s="17"/>
      <c r="C807" s="17"/>
      <c r="D807" s="17"/>
      <c r="E807" s="17"/>
      <c r="F807" s="25"/>
      <c r="G807" s="16"/>
      <c r="H807" s="16"/>
    </row>
    <row r="808" spans="1:8">
      <c r="A808" s="17"/>
      <c r="B808" s="17"/>
      <c r="C808" s="17"/>
      <c r="D808" s="17"/>
      <c r="E808" s="17"/>
      <c r="F808" s="25"/>
      <c r="G808" s="16"/>
      <c r="H808" s="16"/>
    </row>
    <row r="809" spans="1:8">
      <c r="A809" s="17"/>
      <c r="B809" s="17"/>
      <c r="C809" s="17"/>
      <c r="D809" s="17"/>
      <c r="E809" s="17"/>
      <c r="F809" s="25"/>
      <c r="G809" s="16"/>
      <c r="H809" s="16"/>
    </row>
    <row r="810" spans="1:8">
      <c r="A810" s="17"/>
      <c r="B810" s="17"/>
      <c r="C810" s="17"/>
      <c r="D810" s="17"/>
      <c r="E810" s="17"/>
      <c r="F810" s="25"/>
      <c r="G810" s="16"/>
      <c r="H810" s="16"/>
    </row>
    <row r="811" spans="1:8">
      <c r="A811" s="17"/>
      <c r="B811" s="17"/>
      <c r="C811" s="17"/>
      <c r="D811" s="17"/>
      <c r="E811" s="17"/>
      <c r="F811" s="25"/>
      <c r="G811" s="16"/>
      <c r="H811" s="16"/>
    </row>
    <row r="812" spans="1:8">
      <c r="A812" s="17"/>
      <c r="B812" s="17"/>
      <c r="C812" s="17"/>
      <c r="D812" s="17"/>
      <c r="E812" s="17"/>
      <c r="F812" s="25"/>
      <c r="G812" s="16"/>
      <c r="H812" s="16"/>
    </row>
    <row r="813" spans="1:8">
      <c r="A813" s="17"/>
      <c r="B813" s="17"/>
      <c r="C813" s="17"/>
      <c r="D813" s="17"/>
      <c r="E813" s="17"/>
      <c r="F813" s="25"/>
      <c r="G813" s="16"/>
      <c r="H813" s="16"/>
    </row>
    <row r="814" spans="1:8">
      <c r="A814" s="17"/>
      <c r="B814" s="17"/>
      <c r="C814" s="17"/>
      <c r="D814" s="17"/>
      <c r="E814" s="17"/>
      <c r="F814" s="25"/>
      <c r="G814" s="16"/>
      <c r="H814" s="16"/>
    </row>
    <row r="815" spans="1:8">
      <c r="A815" s="17"/>
      <c r="B815" s="17"/>
      <c r="C815" s="17"/>
      <c r="D815" s="17"/>
      <c r="E815" s="17"/>
      <c r="F815" s="25"/>
      <c r="G815" s="16"/>
      <c r="H815" s="16"/>
    </row>
    <row r="816" spans="1:8">
      <c r="A816" s="17"/>
      <c r="B816" s="17"/>
      <c r="C816" s="17"/>
      <c r="D816" s="17"/>
      <c r="E816" s="17"/>
      <c r="F816" s="25"/>
      <c r="G816" s="16"/>
      <c r="H816" s="16"/>
    </row>
    <row r="817" spans="1:8">
      <c r="A817" s="17"/>
      <c r="B817" s="17"/>
      <c r="C817" s="17"/>
      <c r="D817" s="17"/>
      <c r="E817" s="17"/>
      <c r="F817" s="25"/>
      <c r="G817" s="16"/>
      <c r="H817" s="16"/>
    </row>
    <row r="818" spans="1:8">
      <c r="A818" s="17"/>
      <c r="B818" s="17"/>
      <c r="C818" s="17"/>
      <c r="D818" s="17"/>
      <c r="E818" s="17"/>
      <c r="F818" s="25"/>
      <c r="G818" s="16"/>
      <c r="H818" s="16"/>
    </row>
    <row r="819" spans="1:8">
      <c r="A819" s="17"/>
      <c r="B819" s="17"/>
      <c r="C819" s="17"/>
      <c r="D819" s="17"/>
      <c r="E819" s="17"/>
      <c r="F819" s="25"/>
      <c r="G819" s="16"/>
      <c r="H819" s="16"/>
    </row>
    <row r="820" spans="1:8">
      <c r="A820" s="17"/>
      <c r="B820" s="17"/>
      <c r="C820" s="17"/>
      <c r="D820" s="17"/>
      <c r="E820" s="17"/>
      <c r="F820" s="25"/>
      <c r="G820" s="16"/>
      <c r="H820" s="16"/>
    </row>
    <row r="821" spans="1:8">
      <c r="A821" s="17"/>
      <c r="B821" s="17"/>
      <c r="C821" s="17"/>
      <c r="D821" s="17"/>
      <c r="E821" s="17"/>
      <c r="F821" s="25"/>
      <c r="G821" s="16"/>
      <c r="H821" s="16"/>
    </row>
    <row r="822" spans="1:8">
      <c r="A822" s="17"/>
      <c r="B822" s="17"/>
      <c r="C822" s="17"/>
      <c r="D822" s="17"/>
      <c r="E822" s="17"/>
      <c r="F822" s="25"/>
      <c r="G822" s="16"/>
      <c r="H822" s="16"/>
    </row>
    <row r="823" spans="1:8">
      <c r="A823" s="17"/>
      <c r="B823" s="17"/>
      <c r="C823" s="17"/>
      <c r="D823" s="17"/>
      <c r="E823" s="17"/>
      <c r="F823" s="25"/>
      <c r="G823" s="16"/>
      <c r="H823" s="16"/>
    </row>
    <row r="824" spans="1:8">
      <c r="A824" s="17"/>
      <c r="B824" s="17"/>
      <c r="C824" s="17"/>
      <c r="D824" s="17"/>
      <c r="E824" s="17"/>
      <c r="F824" s="25"/>
      <c r="G824" s="16"/>
      <c r="H824" s="16"/>
    </row>
    <row r="825" spans="1:8">
      <c r="A825" s="17"/>
      <c r="B825" s="17"/>
      <c r="C825" s="17"/>
      <c r="D825" s="17"/>
      <c r="E825" s="17"/>
      <c r="F825" s="25"/>
      <c r="G825" s="16"/>
      <c r="H825" s="16"/>
    </row>
    <row r="826" spans="1:8">
      <c r="A826" s="17"/>
      <c r="B826" s="17"/>
      <c r="C826" s="17"/>
      <c r="D826" s="17"/>
      <c r="E826" s="17"/>
      <c r="F826" s="25"/>
      <c r="G826" s="16"/>
      <c r="H826" s="16"/>
    </row>
    <row r="827" spans="1:8">
      <c r="A827" s="17"/>
      <c r="B827" s="17"/>
      <c r="C827" s="17"/>
      <c r="D827" s="17"/>
      <c r="E827" s="17"/>
      <c r="F827" s="25"/>
      <c r="G827" s="16"/>
      <c r="H827" s="16"/>
    </row>
    <row r="828" spans="1:8">
      <c r="A828" s="17"/>
      <c r="B828" s="17"/>
      <c r="C828" s="17"/>
      <c r="D828" s="17"/>
      <c r="E828" s="17"/>
      <c r="F828" s="25"/>
      <c r="G828" s="16"/>
      <c r="H828" s="16"/>
    </row>
    <row r="829" spans="1:8">
      <c r="A829" s="17"/>
      <c r="B829" s="17"/>
      <c r="C829" s="17"/>
      <c r="D829" s="17"/>
      <c r="E829" s="17"/>
      <c r="F829" s="25"/>
      <c r="G829" s="16"/>
      <c r="H829" s="16"/>
    </row>
    <row r="830" spans="1:8">
      <c r="A830" s="17"/>
      <c r="B830" s="17"/>
      <c r="C830" s="17"/>
      <c r="D830" s="17"/>
      <c r="E830" s="17"/>
      <c r="F830" s="25"/>
      <c r="G830" s="16"/>
      <c r="H830" s="16"/>
    </row>
    <row r="831" spans="1:8">
      <c r="A831" s="17"/>
      <c r="B831" s="17"/>
      <c r="C831" s="17"/>
      <c r="D831" s="17"/>
      <c r="E831" s="17"/>
      <c r="F831" s="25"/>
      <c r="G831" s="16"/>
      <c r="H831" s="16"/>
    </row>
    <row r="832" spans="1:8">
      <c r="A832" s="17"/>
      <c r="B832" s="17"/>
      <c r="C832" s="17"/>
      <c r="D832" s="17"/>
      <c r="E832" s="17"/>
      <c r="F832" s="25"/>
      <c r="G832" s="16"/>
      <c r="H832" s="16"/>
    </row>
    <row r="833" spans="1:8">
      <c r="A833" s="17"/>
      <c r="B833" s="17"/>
      <c r="C833" s="17"/>
      <c r="D833" s="17"/>
      <c r="E833" s="17"/>
      <c r="F833" s="25"/>
      <c r="G833" s="16"/>
      <c r="H833" s="16"/>
    </row>
    <row r="834" spans="1:8">
      <c r="A834" s="17"/>
      <c r="B834" s="17"/>
      <c r="C834" s="17"/>
      <c r="D834" s="17"/>
      <c r="E834" s="17"/>
      <c r="F834" s="25"/>
      <c r="G834" s="16"/>
      <c r="H834" s="16"/>
    </row>
    <row r="835" spans="1:8">
      <c r="A835" s="17"/>
      <c r="B835" s="17"/>
      <c r="C835" s="17"/>
      <c r="D835" s="17"/>
      <c r="E835" s="17"/>
      <c r="F835" s="25"/>
      <c r="G835" s="16"/>
      <c r="H835" s="16"/>
    </row>
    <row r="836" spans="1:8">
      <c r="A836" s="17"/>
      <c r="B836" s="17"/>
      <c r="C836" s="17"/>
      <c r="D836" s="17"/>
      <c r="E836" s="17"/>
      <c r="F836" s="25"/>
      <c r="G836" s="16"/>
      <c r="H836" s="16"/>
    </row>
    <row r="837" spans="1:8">
      <c r="A837" s="17"/>
      <c r="B837" s="17"/>
      <c r="C837" s="17"/>
      <c r="D837" s="17"/>
      <c r="E837" s="17"/>
      <c r="F837" s="25"/>
      <c r="G837" s="16"/>
      <c r="H837" s="16"/>
    </row>
    <row r="838" spans="1:8">
      <c r="A838" s="17"/>
      <c r="B838" s="17"/>
      <c r="C838" s="17"/>
      <c r="D838" s="17"/>
      <c r="E838" s="17"/>
      <c r="F838" s="25"/>
      <c r="G838" s="16"/>
      <c r="H838" s="16"/>
    </row>
    <row r="839" spans="1:8">
      <c r="A839" s="17"/>
      <c r="B839" s="17"/>
      <c r="C839" s="17"/>
      <c r="D839" s="17"/>
      <c r="E839" s="17"/>
      <c r="F839" s="25"/>
      <c r="G839" s="16"/>
      <c r="H839" s="16"/>
    </row>
    <row r="840" spans="1:8">
      <c r="A840" s="17"/>
      <c r="B840" s="17"/>
      <c r="C840" s="17"/>
      <c r="D840" s="17"/>
      <c r="E840" s="17"/>
      <c r="F840" s="25"/>
      <c r="G840" s="16"/>
      <c r="H840" s="16"/>
    </row>
    <row r="841" spans="1:8">
      <c r="A841" s="17"/>
      <c r="B841" s="17"/>
      <c r="C841" s="17"/>
      <c r="D841" s="17"/>
      <c r="E841" s="17"/>
      <c r="F841" s="25"/>
      <c r="G841" s="16"/>
      <c r="H841" s="16"/>
    </row>
    <row r="842" spans="1:8">
      <c r="A842" s="17"/>
      <c r="B842" s="17"/>
      <c r="C842" s="17"/>
      <c r="D842" s="17"/>
      <c r="E842" s="17"/>
      <c r="F842" s="25"/>
      <c r="G842" s="16"/>
      <c r="H842" s="16"/>
    </row>
    <row r="843" spans="1:8">
      <c r="A843" s="17"/>
      <c r="B843" s="17"/>
      <c r="C843" s="17"/>
      <c r="D843" s="17"/>
      <c r="E843" s="17"/>
      <c r="F843" s="25"/>
      <c r="G843" s="16"/>
      <c r="H843" s="16"/>
    </row>
    <row r="844" spans="1:8">
      <c r="A844" s="17"/>
      <c r="B844" s="17"/>
      <c r="C844" s="17"/>
      <c r="D844" s="17"/>
      <c r="E844" s="17"/>
      <c r="F844" s="25"/>
      <c r="G844" s="16"/>
      <c r="H844" s="16"/>
    </row>
    <row r="845" spans="1:8">
      <c r="A845" s="17"/>
      <c r="B845" s="17"/>
      <c r="C845" s="17"/>
      <c r="D845" s="17"/>
      <c r="E845" s="17"/>
      <c r="F845" s="25"/>
      <c r="G845" s="16"/>
      <c r="H845" s="16"/>
    </row>
    <row r="846" spans="1:8">
      <c r="A846" s="17"/>
      <c r="B846" s="17"/>
      <c r="C846" s="17"/>
      <c r="D846" s="17"/>
      <c r="E846" s="17"/>
      <c r="F846" s="25"/>
      <c r="G846" s="16"/>
      <c r="H846" s="16"/>
    </row>
    <row r="847" spans="1:8">
      <c r="A847" s="17"/>
      <c r="B847" s="17"/>
      <c r="C847" s="17"/>
      <c r="D847" s="17"/>
      <c r="E847" s="17"/>
      <c r="F847" s="25"/>
      <c r="G847" s="16"/>
      <c r="H847" s="16"/>
    </row>
    <row r="848" spans="1:8">
      <c r="A848" s="17"/>
      <c r="B848" s="17"/>
      <c r="C848" s="17"/>
      <c r="D848" s="17"/>
      <c r="E848" s="17"/>
      <c r="F848" s="25"/>
      <c r="G848" s="16"/>
      <c r="H848" s="16"/>
    </row>
    <row r="849" spans="1:8">
      <c r="A849" s="17"/>
      <c r="B849" s="17"/>
      <c r="C849" s="17"/>
      <c r="D849" s="17"/>
      <c r="E849" s="17"/>
      <c r="F849" s="25"/>
      <c r="G849" s="16"/>
      <c r="H849" s="16"/>
    </row>
    <row r="850" spans="1:8">
      <c r="A850" s="17"/>
      <c r="B850" s="17"/>
      <c r="C850" s="17"/>
      <c r="D850" s="17"/>
      <c r="E850" s="17"/>
      <c r="F850" s="25"/>
      <c r="G850" s="16"/>
      <c r="H850" s="16"/>
    </row>
    <row r="851" spans="1:8">
      <c r="A851" s="17"/>
      <c r="B851" s="17"/>
      <c r="C851" s="17"/>
      <c r="D851" s="17"/>
      <c r="E851" s="17"/>
      <c r="F851" s="25"/>
      <c r="G851" s="16"/>
      <c r="H851" s="16"/>
    </row>
    <row r="852" spans="1:8">
      <c r="A852" s="17"/>
      <c r="B852" s="17"/>
      <c r="C852" s="17"/>
      <c r="D852" s="17"/>
      <c r="E852" s="17"/>
      <c r="F852" s="25"/>
      <c r="G852" s="16"/>
      <c r="H852" s="16"/>
    </row>
    <row r="853" spans="1:8">
      <c r="A853" s="17"/>
      <c r="B853" s="17"/>
      <c r="C853" s="17"/>
      <c r="D853" s="17"/>
      <c r="E853" s="17"/>
      <c r="F853" s="25"/>
      <c r="G853" s="16"/>
      <c r="H853" s="16"/>
    </row>
    <row r="854" spans="1:8">
      <c r="A854" s="17"/>
      <c r="B854" s="17"/>
      <c r="C854" s="17"/>
      <c r="D854" s="17"/>
      <c r="E854" s="17"/>
      <c r="F854" s="25"/>
      <c r="G854" s="16"/>
      <c r="H854" s="16"/>
    </row>
    <row r="855" spans="1:8">
      <c r="A855" s="17"/>
      <c r="B855" s="17"/>
      <c r="C855" s="17"/>
      <c r="D855" s="17"/>
      <c r="E855" s="17"/>
      <c r="F855" s="25"/>
      <c r="G855" s="16"/>
      <c r="H855" s="16"/>
    </row>
    <row r="856" spans="1:8">
      <c r="A856" s="17"/>
      <c r="B856" s="17"/>
      <c r="C856" s="17"/>
      <c r="D856" s="17"/>
      <c r="E856" s="17"/>
      <c r="F856" s="25"/>
      <c r="G856" s="16"/>
      <c r="H856" s="16"/>
    </row>
    <row r="857" spans="1:8">
      <c r="A857" s="17"/>
      <c r="B857" s="17"/>
      <c r="C857" s="17"/>
      <c r="D857" s="17"/>
      <c r="E857" s="17"/>
      <c r="F857" s="25"/>
      <c r="G857" s="16"/>
      <c r="H857" s="16"/>
    </row>
    <row r="858" spans="1:8">
      <c r="A858" s="17"/>
      <c r="B858" s="17"/>
      <c r="C858" s="17"/>
      <c r="D858" s="17"/>
      <c r="E858" s="17"/>
      <c r="F858" s="25"/>
      <c r="G858" s="16"/>
      <c r="H858" s="16"/>
    </row>
    <row r="859" spans="1:8">
      <c r="A859" s="17"/>
      <c r="B859" s="17"/>
      <c r="C859" s="17"/>
      <c r="D859" s="17"/>
      <c r="E859" s="17"/>
      <c r="F859" s="25"/>
      <c r="G859" s="16"/>
      <c r="H859" s="16"/>
    </row>
    <row r="860" spans="1:8">
      <c r="A860" s="17"/>
      <c r="B860" s="17"/>
      <c r="C860" s="17"/>
      <c r="D860" s="17"/>
      <c r="E860" s="17"/>
      <c r="F860" s="25"/>
      <c r="G860" s="16"/>
      <c r="H860" s="16"/>
    </row>
    <row r="861" spans="1:8">
      <c r="A861" s="17"/>
      <c r="B861" s="17"/>
      <c r="C861" s="17"/>
      <c r="D861" s="17"/>
      <c r="E861" s="17"/>
      <c r="F861" s="25"/>
      <c r="G861" s="16"/>
      <c r="H861" s="16"/>
    </row>
    <row r="862" spans="1:8">
      <c r="A862" s="17"/>
      <c r="B862" s="17"/>
      <c r="C862" s="17"/>
      <c r="D862" s="17"/>
      <c r="E862" s="17"/>
      <c r="F862" s="25"/>
      <c r="G862" s="16"/>
      <c r="H862" s="16"/>
    </row>
    <row r="863" spans="1:8">
      <c r="A863" s="17"/>
      <c r="B863" s="17"/>
      <c r="C863" s="17"/>
      <c r="D863" s="17"/>
      <c r="E863" s="17"/>
      <c r="F863" s="25"/>
      <c r="G863" s="16"/>
      <c r="H863" s="16"/>
    </row>
    <row r="864" spans="1:8">
      <c r="A864" s="17"/>
      <c r="B864" s="17"/>
      <c r="C864" s="17"/>
      <c r="D864" s="17"/>
      <c r="E864" s="17"/>
      <c r="F864" s="25"/>
      <c r="G864" s="16"/>
      <c r="H864" s="16"/>
    </row>
    <row r="865" spans="1:8">
      <c r="A865" s="17"/>
      <c r="B865" s="17"/>
      <c r="C865" s="17"/>
      <c r="D865" s="17"/>
      <c r="E865" s="17"/>
      <c r="F865" s="25"/>
      <c r="G865" s="16"/>
      <c r="H865" s="16"/>
    </row>
    <row r="866" spans="1:8">
      <c r="A866" s="17"/>
      <c r="B866" s="17"/>
      <c r="C866" s="17"/>
      <c r="D866" s="17"/>
      <c r="E866" s="17"/>
      <c r="F866" s="25"/>
      <c r="G866" s="16"/>
      <c r="H866" s="16"/>
    </row>
    <row r="867" spans="1:8">
      <c r="A867" s="17"/>
      <c r="B867" s="17"/>
      <c r="C867" s="17"/>
      <c r="D867" s="17"/>
      <c r="E867" s="17"/>
      <c r="F867" s="25"/>
      <c r="G867" s="16"/>
      <c r="H867" s="16"/>
    </row>
    <row r="868" spans="1:8">
      <c r="A868" s="17"/>
      <c r="B868" s="17"/>
      <c r="C868" s="17"/>
      <c r="D868" s="17"/>
      <c r="E868" s="17"/>
      <c r="F868" s="25"/>
      <c r="G868" s="16"/>
      <c r="H868" s="16"/>
    </row>
    <row r="869" spans="1:8">
      <c r="A869" s="17"/>
      <c r="B869" s="17"/>
      <c r="C869" s="17"/>
      <c r="D869" s="17"/>
      <c r="E869" s="17"/>
      <c r="F869" s="25"/>
      <c r="G869" s="16"/>
      <c r="H869" s="16"/>
    </row>
    <row r="870" spans="1:8">
      <c r="A870" s="17"/>
      <c r="B870" s="17"/>
      <c r="C870" s="17"/>
      <c r="D870" s="17"/>
      <c r="E870" s="17"/>
      <c r="F870" s="25"/>
      <c r="G870" s="16"/>
      <c r="H870" s="16"/>
    </row>
    <row r="871" spans="1:8">
      <c r="A871" s="17"/>
      <c r="B871" s="17"/>
      <c r="C871" s="17"/>
      <c r="D871" s="17"/>
      <c r="E871" s="17"/>
      <c r="F871" s="25"/>
      <c r="G871" s="16"/>
      <c r="H871" s="16"/>
    </row>
    <row r="872" spans="1:8">
      <c r="A872" s="17"/>
      <c r="B872" s="17"/>
      <c r="C872" s="17"/>
      <c r="D872" s="17"/>
      <c r="E872" s="17"/>
      <c r="F872" s="25"/>
      <c r="G872" s="16"/>
      <c r="H872" s="16"/>
    </row>
    <row r="873" spans="1:8">
      <c r="A873" s="17"/>
      <c r="B873" s="17"/>
      <c r="C873" s="17"/>
      <c r="D873" s="17"/>
      <c r="E873" s="17"/>
      <c r="F873" s="25"/>
      <c r="G873" s="16"/>
      <c r="H873" s="16"/>
    </row>
    <row r="874" spans="1:8">
      <c r="A874" s="17"/>
      <c r="B874" s="17"/>
      <c r="C874" s="17"/>
      <c r="D874" s="17"/>
      <c r="E874" s="17"/>
      <c r="F874" s="25"/>
      <c r="G874" s="16"/>
      <c r="H874" s="16"/>
    </row>
    <row r="875" spans="1:8">
      <c r="A875" s="17"/>
      <c r="B875" s="17"/>
      <c r="C875" s="17"/>
      <c r="D875" s="17"/>
      <c r="E875" s="17"/>
      <c r="F875" s="25"/>
      <c r="G875" s="16"/>
      <c r="H875" s="16"/>
    </row>
    <row r="876" spans="1:8">
      <c r="A876" s="17"/>
      <c r="B876" s="17"/>
      <c r="C876" s="17"/>
      <c r="D876" s="17"/>
      <c r="E876" s="17"/>
      <c r="F876" s="25"/>
      <c r="G876" s="16"/>
      <c r="H876" s="16"/>
    </row>
    <row r="877" spans="1:8">
      <c r="A877" s="17"/>
      <c r="B877" s="17"/>
      <c r="C877" s="17"/>
      <c r="D877" s="17"/>
      <c r="E877" s="17"/>
      <c r="F877" s="25"/>
      <c r="G877" s="16"/>
      <c r="H877" s="16"/>
    </row>
    <row r="878" spans="1:8">
      <c r="A878" s="17"/>
      <c r="B878" s="17"/>
      <c r="C878" s="17"/>
      <c r="D878" s="17"/>
      <c r="E878" s="17"/>
      <c r="F878" s="25"/>
      <c r="G878" s="16"/>
      <c r="H878" s="16"/>
    </row>
    <row r="879" spans="1:8">
      <c r="A879" s="17"/>
      <c r="B879" s="17"/>
      <c r="C879" s="17"/>
      <c r="D879" s="17"/>
      <c r="E879" s="17"/>
      <c r="F879" s="25"/>
      <c r="G879" s="16"/>
      <c r="H879" s="16"/>
    </row>
    <row r="880" spans="1:8">
      <c r="A880" s="17"/>
      <c r="B880" s="17"/>
      <c r="C880" s="17"/>
      <c r="D880" s="17"/>
      <c r="E880" s="17"/>
      <c r="F880" s="25"/>
      <c r="G880" s="16"/>
      <c r="H880" s="16"/>
    </row>
    <row r="881" spans="1:8">
      <c r="A881" s="17"/>
      <c r="B881" s="17"/>
      <c r="C881" s="17"/>
      <c r="D881" s="17"/>
      <c r="E881" s="17"/>
      <c r="F881" s="25"/>
      <c r="G881" s="16"/>
      <c r="H881" s="16"/>
    </row>
    <row r="882" spans="1:8">
      <c r="A882" s="17"/>
      <c r="B882" s="17"/>
      <c r="C882" s="17"/>
      <c r="D882" s="17"/>
      <c r="E882" s="17"/>
      <c r="F882" s="25"/>
      <c r="G882" s="16"/>
      <c r="H882" s="16"/>
    </row>
    <row r="883" spans="1:8">
      <c r="A883" s="17"/>
      <c r="B883" s="17"/>
      <c r="C883" s="17"/>
      <c r="D883" s="17"/>
      <c r="E883" s="17"/>
      <c r="F883" s="25"/>
      <c r="G883" s="16"/>
      <c r="H883" s="16"/>
    </row>
    <row r="884" spans="1:8">
      <c r="A884" s="17"/>
      <c r="B884" s="17"/>
      <c r="C884" s="17"/>
      <c r="D884" s="17"/>
      <c r="E884" s="17"/>
      <c r="F884" s="25"/>
      <c r="G884" s="16"/>
      <c r="H884" s="16"/>
    </row>
    <row r="885" spans="1:8">
      <c r="A885" s="17"/>
      <c r="B885" s="17"/>
      <c r="C885" s="17"/>
      <c r="D885" s="17"/>
      <c r="E885" s="17"/>
      <c r="F885" s="25"/>
      <c r="G885" s="16"/>
      <c r="H885" s="16"/>
    </row>
    <row r="886" spans="1:8">
      <c r="A886" s="17"/>
      <c r="B886" s="17"/>
      <c r="C886" s="17"/>
      <c r="D886" s="17"/>
      <c r="E886" s="17"/>
      <c r="F886" s="25"/>
      <c r="G886" s="16"/>
      <c r="H886" s="16"/>
    </row>
    <row r="887" spans="1:8">
      <c r="A887" s="17"/>
      <c r="B887" s="17"/>
      <c r="C887" s="17"/>
      <c r="D887" s="17"/>
      <c r="E887" s="17"/>
      <c r="F887" s="25"/>
      <c r="G887" s="16"/>
      <c r="H887" s="16"/>
    </row>
    <row r="888" spans="1:8">
      <c r="A888" s="17"/>
      <c r="B888" s="17"/>
      <c r="C888" s="17"/>
      <c r="D888" s="17"/>
      <c r="E888" s="17"/>
      <c r="F888" s="25"/>
      <c r="G888" s="16"/>
      <c r="H888" s="16"/>
    </row>
    <row r="889" spans="1:8">
      <c r="A889" s="17"/>
      <c r="B889" s="17"/>
      <c r="C889" s="17"/>
      <c r="D889" s="17"/>
      <c r="E889" s="17"/>
      <c r="F889" s="25"/>
      <c r="G889" s="16"/>
      <c r="H889" s="16"/>
    </row>
    <row r="890" spans="1:8">
      <c r="A890" s="17"/>
      <c r="B890" s="17"/>
      <c r="C890" s="17"/>
      <c r="D890" s="17"/>
      <c r="E890" s="17"/>
      <c r="F890" s="25"/>
      <c r="G890" s="16"/>
      <c r="H890" s="16"/>
    </row>
    <row r="891" spans="1:8">
      <c r="A891" s="17"/>
      <c r="B891" s="17"/>
      <c r="C891" s="17"/>
      <c r="D891" s="17"/>
      <c r="E891" s="17"/>
      <c r="F891" s="25"/>
      <c r="G891" s="16"/>
      <c r="H891" s="16"/>
    </row>
    <row r="892" spans="1:8">
      <c r="A892" s="17"/>
      <c r="B892" s="17"/>
      <c r="C892" s="17"/>
      <c r="D892" s="17"/>
      <c r="E892" s="17"/>
      <c r="F892" s="25"/>
      <c r="G892" s="16"/>
      <c r="H892" s="16"/>
    </row>
    <row r="893" spans="1:8">
      <c r="A893" s="17"/>
      <c r="B893" s="17"/>
      <c r="C893" s="17"/>
      <c r="D893" s="17"/>
      <c r="E893" s="17"/>
      <c r="F893" s="25"/>
      <c r="G893" s="16"/>
      <c r="H893" s="16"/>
    </row>
    <row r="894" spans="1:8">
      <c r="A894" s="17"/>
      <c r="B894" s="17"/>
      <c r="C894" s="17"/>
      <c r="D894" s="17"/>
      <c r="E894" s="17"/>
      <c r="F894" s="25"/>
      <c r="G894" s="16"/>
      <c r="H894" s="16"/>
    </row>
    <row r="895" spans="1:8">
      <c r="A895" s="17"/>
      <c r="B895" s="17"/>
      <c r="C895" s="17"/>
      <c r="D895" s="17"/>
      <c r="E895" s="17"/>
      <c r="F895" s="25"/>
      <c r="G895" s="16"/>
      <c r="H895" s="16"/>
    </row>
    <row r="896" spans="1:8">
      <c r="A896" s="17"/>
      <c r="B896" s="17"/>
      <c r="C896" s="17"/>
      <c r="D896" s="17"/>
      <c r="E896" s="17"/>
      <c r="F896" s="25"/>
      <c r="G896" s="16"/>
      <c r="H896" s="16"/>
    </row>
    <row r="897" spans="1:8">
      <c r="A897" s="17"/>
      <c r="B897" s="17"/>
      <c r="C897" s="17"/>
      <c r="D897" s="17"/>
      <c r="E897" s="17"/>
      <c r="F897" s="25"/>
      <c r="G897" s="16"/>
      <c r="H897" s="16"/>
    </row>
    <row r="898" spans="1:8">
      <c r="A898" s="17"/>
      <c r="B898" s="17"/>
      <c r="C898" s="17"/>
      <c r="D898" s="17"/>
      <c r="E898" s="17"/>
      <c r="F898" s="25"/>
      <c r="G898" s="16"/>
      <c r="H898" s="16"/>
    </row>
    <row r="899" spans="1:8">
      <c r="A899" s="17"/>
      <c r="B899" s="17"/>
      <c r="C899" s="17"/>
      <c r="D899" s="17"/>
      <c r="E899" s="17"/>
      <c r="F899" s="25"/>
      <c r="G899" s="16"/>
      <c r="H899" s="16"/>
    </row>
    <row r="900" spans="1:8">
      <c r="A900" s="17"/>
      <c r="B900" s="17"/>
      <c r="C900" s="17"/>
      <c r="D900" s="17"/>
      <c r="E900" s="17"/>
      <c r="F900" s="25"/>
      <c r="G900" s="16"/>
      <c r="H900" s="16"/>
    </row>
    <row r="901" spans="1:8">
      <c r="A901" s="17"/>
      <c r="B901" s="17"/>
      <c r="C901" s="17"/>
      <c r="D901" s="17"/>
      <c r="E901" s="17"/>
      <c r="F901" s="25"/>
      <c r="G901" s="16"/>
      <c r="H901" s="16"/>
    </row>
    <row r="902" spans="1:8">
      <c r="A902" s="17"/>
      <c r="B902" s="17"/>
      <c r="C902" s="17"/>
      <c r="D902" s="17"/>
      <c r="E902" s="17"/>
      <c r="F902" s="25"/>
      <c r="G902" s="16"/>
      <c r="H902" s="16"/>
    </row>
    <row r="903" spans="1:8">
      <c r="A903" s="17"/>
      <c r="B903" s="17"/>
      <c r="C903" s="17"/>
      <c r="D903" s="17"/>
      <c r="E903" s="17"/>
      <c r="F903" s="25"/>
      <c r="G903" s="16"/>
      <c r="H903" s="16"/>
    </row>
    <row r="904" spans="1:8">
      <c r="A904" s="17"/>
      <c r="B904" s="17"/>
      <c r="C904" s="17"/>
      <c r="D904" s="17"/>
      <c r="E904" s="17"/>
      <c r="F904" s="25"/>
      <c r="G904" s="16"/>
      <c r="H904" s="16"/>
    </row>
    <row r="905" spans="1:8">
      <c r="A905" s="17"/>
      <c r="B905" s="17"/>
      <c r="C905" s="17"/>
      <c r="D905" s="17"/>
      <c r="E905" s="17"/>
      <c r="F905" s="25"/>
      <c r="G905" s="16"/>
      <c r="H905" s="16"/>
    </row>
    <row r="906" spans="1:8">
      <c r="A906" s="17"/>
      <c r="B906" s="17"/>
      <c r="C906" s="17"/>
      <c r="D906" s="17"/>
      <c r="E906" s="17"/>
      <c r="F906" s="25"/>
      <c r="G906" s="16"/>
      <c r="H906" s="16"/>
    </row>
    <row r="907" spans="1:8">
      <c r="A907" s="17"/>
      <c r="B907" s="17"/>
      <c r="C907" s="17"/>
      <c r="D907" s="17"/>
      <c r="E907" s="17"/>
      <c r="F907" s="25"/>
      <c r="G907" s="16"/>
      <c r="H907" s="16"/>
    </row>
    <row r="908" spans="1:8">
      <c r="A908" s="17"/>
      <c r="B908" s="17"/>
      <c r="C908" s="17"/>
      <c r="D908" s="17"/>
      <c r="E908" s="17"/>
      <c r="F908" s="25"/>
      <c r="G908" s="16"/>
      <c r="H908" s="16"/>
    </row>
    <row r="909" spans="1:8">
      <c r="A909" s="17"/>
      <c r="B909" s="17"/>
      <c r="C909" s="17"/>
      <c r="D909" s="17"/>
      <c r="E909" s="17"/>
      <c r="F909" s="25"/>
      <c r="G909" s="16"/>
      <c r="H909" s="16"/>
    </row>
    <row r="910" spans="1:8">
      <c r="A910" s="17"/>
      <c r="B910" s="17"/>
      <c r="C910" s="17"/>
      <c r="D910" s="17"/>
      <c r="E910" s="17"/>
      <c r="F910" s="25"/>
      <c r="G910" s="16"/>
      <c r="H910" s="16"/>
    </row>
    <row r="911" spans="1:8">
      <c r="A911" s="17"/>
      <c r="B911" s="17"/>
      <c r="C911" s="17"/>
      <c r="D911" s="17"/>
      <c r="E911" s="17"/>
      <c r="F911" s="25"/>
      <c r="G911" s="16"/>
      <c r="H911" s="16"/>
    </row>
    <row r="912" spans="1:8">
      <c r="A912" s="17"/>
      <c r="B912" s="17"/>
      <c r="C912" s="17"/>
      <c r="D912" s="17"/>
      <c r="E912" s="17"/>
      <c r="F912" s="25"/>
      <c r="G912" s="16"/>
      <c r="H912" s="16"/>
    </row>
    <row r="913" spans="1:8">
      <c r="A913" s="17"/>
      <c r="B913" s="17"/>
      <c r="C913" s="17"/>
      <c r="D913" s="17"/>
      <c r="E913" s="17"/>
      <c r="F913" s="25"/>
      <c r="G913" s="16"/>
      <c r="H913" s="16"/>
    </row>
    <row r="914" spans="1:8">
      <c r="A914" s="17"/>
      <c r="B914" s="17"/>
      <c r="C914" s="17"/>
      <c r="D914" s="17"/>
      <c r="E914" s="17"/>
      <c r="F914" s="25"/>
      <c r="G914" s="16"/>
      <c r="H914" s="16"/>
    </row>
    <row r="915" spans="1:8">
      <c r="A915" s="17"/>
      <c r="B915" s="17"/>
      <c r="C915" s="17"/>
      <c r="D915" s="17"/>
      <c r="E915" s="17"/>
      <c r="F915" s="25"/>
      <c r="G915" s="16"/>
      <c r="H915" s="16"/>
    </row>
    <row r="916" spans="1:8">
      <c r="A916" s="17"/>
      <c r="B916" s="17"/>
      <c r="C916" s="17"/>
      <c r="D916" s="17"/>
      <c r="E916" s="17"/>
      <c r="F916" s="25"/>
      <c r="G916" s="16"/>
      <c r="H916" s="16"/>
    </row>
    <row r="917" spans="1:8">
      <c r="A917" s="17"/>
      <c r="B917" s="17"/>
      <c r="C917" s="17"/>
      <c r="D917" s="17"/>
      <c r="E917" s="17"/>
      <c r="F917" s="25"/>
      <c r="G917" s="16"/>
      <c r="H917" s="16"/>
    </row>
    <row r="918" spans="1:8">
      <c r="A918" s="17"/>
      <c r="B918" s="17"/>
      <c r="C918" s="17"/>
      <c r="D918" s="17"/>
      <c r="E918" s="17"/>
      <c r="F918" s="25"/>
      <c r="G918" s="16"/>
      <c r="H918" s="16"/>
    </row>
    <row r="919" spans="1:8">
      <c r="A919" s="17"/>
      <c r="B919" s="17"/>
      <c r="C919" s="17"/>
      <c r="D919" s="17"/>
      <c r="E919" s="17"/>
      <c r="F919" s="25"/>
      <c r="G919" s="16"/>
      <c r="H919" s="16"/>
    </row>
    <row r="920" spans="1:8">
      <c r="A920" s="17"/>
      <c r="B920" s="17"/>
      <c r="C920" s="17"/>
      <c r="D920" s="17"/>
      <c r="E920" s="17"/>
      <c r="F920" s="25"/>
      <c r="G920" s="16"/>
      <c r="H920" s="16"/>
    </row>
    <row r="921" spans="1:8">
      <c r="A921" s="17"/>
      <c r="B921" s="17"/>
      <c r="C921" s="17"/>
      <c r="D921" s="17"/>
      <c r="E921" s="17"/>
      <c r="F921" s="25"/>
      <c r="G921" s="16"/>
      <c r="H921" s="16"/>
    </row>
    <row r="922" spans="1:8">
      <c r="A922" s="17"/>
      <c r="B922" s="17"/>
      <c r="C922" s="17"/>
      <c r="D922" s="17"/>
      <c r="E922" s="17"/>
      <c r="F922" s="25"/>
      <c r="G922" s="16"/>
      <c r="H922" s="16"/>
    </row>
    <row r="923" spans="1:8">
      <c r="A923" s="17"/>
      <c r="B923" s="17"/>
      <c r="C923" s="17"/>
      <c r="D923" s="17"/>
      <c r="E923" s="17"/>
      <c r="F923" s="25"/>
      <c r="G923" s="16"/>
      <c r="H923" s="16"/>
    </row>
    <row r="924" spans="1:8">
      <c r="A924" s="17"/>
      <c r="B924" s="17"/>
      <c r="C924" s="17"/>
      <c r="D924" s="17"/>
      <c r="E924" s="17"/>
      <c r="F924" s="25"/>
      <c r="G924" s="16"/>
      <c r="H924" s="16"/>
    </row>
    <row r="925" spans="1:8">
      <c r="A925" s="17"/>
      <c r="B925" s="17"/>
      <c r="C925" s="17"/>
      <c r="D925" s="17"/>
      <c r="E925" s="17"/>
      <c r="F925" s="25"/>
      <c r="G925" s="16"/>
      <c r="H925" s="16"/>
    </row>
    <row r="926" spans="1:8">
      <c r="A926" s="17"/>
      <c r="B926" s="17"/>
      <c r="C926" s="17"/>
      <c r="D926" s="17"/>
      <c r="E926" s="17"/>
      <c r="F926" s="25"/>
      <c r="G926" s="16"/>
      <c r="H926" s="16"/>
    </row>
    <row r="927" spans="1:8">
      <c r="A927" s="17"/>
      <c r="B927" s="17"/>
      <c r="C927" s="17"/>
      <c r="D927" s="17"/>
      <c r="E927" s="17"/>
      <c r="F927" s="25"/>
      <c r="G927" s="16"/>
      <c r="H927" s="16"/>
    </row>
    <row r="928" spans="1:8">
      <c r="A928" s="17"/>
      <c r="B928" s="17"/>
      <c r="C928" s="17"/>
      <c r="D928" s="17"/>
      <c r="E928" s="17"/>
      <c r="F928" s="25"/>
      <c r="G928" s="16"/>
      <c r="H928" s="16"/>
    </row>
    <row r="929" spans="1:8">
      <c r="A929" s="17"/>
      <c r="B929" s="17"/>
      <c r="C929" s="17"/>
      <c r="D929" s="17"/>
      <c r="E929" s="17"/>
      <c r="F929" s="25"/>
      <c r="G929" s="16"/>
      <c r="H929" s="16"/>
    </row>
    <row r="930" spans="1:8">
      <c r="A930" s="17"/>
      <c r="B930" s="17"/>
      <c r="C930" s="17"/>
      <c r="D930" s="17"/>
      <c r="E930" s="17"/>
      <c r="F930" s="25"/>
      <c r="G930" s="16"/>
      <c r="H930" s="16"/>
    </row>
    <row r="931" spans="1:8">
      <c r="A931" s="17"/>
      <c r="B931" s="17"/>
      <c r="C931" s="17"/>
      <c r="D931" s="17"/>
      <c r="E931" s="17"/>
      <c r="F931" s="25"/>
      <c r="G931" s="16"/>
      <c r="H931" s="16"/>
    </row>
    <row r="932" spans="1:8">
      <c r="A932" s="17"/>
      <c r="B932" s="17"/>
      <c r="C932" s="17"/>
      <c r="D932" s="17"/>
      <c r="E932" s="17"/>
      <c r="F932" s="25"/>
      <c r="G932" s="16"/>
      <c r="H932" s="16"/>
    </row>
    <row r="933" spans="1:8">
      <c r="A933" s="17"/>
      <c r="B933" s="17"/>
      <c r="C933" s="17"/>
      <c r="D933" s="17"/>
      <c r="E933" s="17"/>
      <c r="F933" s="25"/>
      <c r="G933" s="16"/>
      <c r="H933" s="16"/>
    </row>
    <row r="934" spans="1:8">
      <c r="A934" s="17"/>
      <c r="B934" s="17"/>
      <c r="C934" s="17"/>
      <c r="D934" s="17"/>
      <c r="E934" s="17"/>
      <c r="F934" s="25"/>
      <c r="G934" s="16"/>
      <c r="H934" s="16"/>
    </row>
    <row r="935" spans="1:8">
      <c r="A935" s="17"/>
      <c r="B935" s="17"/>
      <c r="C935" s="17"/>
      <c r="D935" s="17"/>
      <c r="E935" s="17"/>
      <c r="F935" s="25"/>
      <c r="G935" s="16"/>
      <c r="H935" s="16"/>
    </row>
    <row r="936" spans="1:8">
      <c r="A936" s="17"/>
      <c r="B936" s="17"/>
      <c r="C936" s="17"/>
      <c r="D936" s="17"/>
      <c r="E936" s="17"/>
      <c r="F936" s="25"/>
      <c r="G936" s="16"/>
      <c r="H936" s="16"/>
    </row>
    <row r="937" spans="1:8">
      <c r="A937" s="17"/>
      <c r="B937" s="17"/>
      <c r="C937" s="17"/>
      <c r="D937" s="17"/>
      <c r="E937" s="17"/>
      <c r="F937" s="25"/>
      <c r="G937" s="16"/>
      <c r="H937" s="16"/>
    </row>
    <row r="938" spans="1:8">
      <c r="A938" s="17"/>
      <c r="B938" s="17"/>
      <c r="C938" s="17"/>
      <c r="D938" s="17"/>
      <c r="E938" s="17"/>
      <c r="F938" s="25"/>
      <c r="G938" s="16"/>
      <c r="H938" s="16"/>
    </row>
    <row r="939" spans="1:8">
      <c r="A939" s="17"/>
      <c r="B939" s="17"/>
      <c r="C939" s="17"/>
      <c r="D939" s="17"/>
      <c r="E939" s="17"/>
      <c r="F939" s="25"/>
      <c r="G939" s="16"/>
      <c r="H939" s="16"/>
    </row>
    <row r="940" spans="1:8">
      <c r="A940" s="17"/>
      <c r="B940" s="17"/>
      <c r="C940" s="17"/>
      <c r="D940" s="17"/>
      <c r="E940" s="17"/>
      <c r="F940" s="25"/>
      <c r="G940" s="16"/>
      <c r="H940" s="16"/>
    </row>
    <row r="941" spans="1:8">
      <c r="A941" s="17"/>
      <c r="B941" s="17"/>
      <c r="C941" s="17"/>
      <c r="D941" s="17"/>
      <c r="E941" s="17"/>
      <c r="F941" s="25"/>
      <c r="G941" s="16"/>
      <c r="H941" s="16"/>
    </row>
    <row r="942" spans="1:8">
      <c r="A942" s="17"/>
      <c r="B942" s="17"/>
      <c r="C942" s="17"/>
      <c r="D942" s="17"/>
      <c r="E942" s="17"/>
      <c r="F942" s="25"/>
      <c r="G942" s="16"/>
      <c r="H942" s="16"/>
    </row>
    <row r="943" spans="1:8">
      <c r="A943" s="17"/>
      <c r="B943" s="17"/>
      <c r="C943" s="17"/>
      <c r="D943" s="17"/>
      <c r="E943" s="17"/>
      <c r="F943" s="25"/>
      <c r="G943" s="16"/>
      <c r="H943" s="16"/>
    </row>
    <row r="944" spans="1:8">
      <c r="A944" s="17"/>
      <c r="B944" s="17"/>
      <c r="C944" s="17"/>
      <c r="D944" s="17"/>
      <c r="E944" s="17"/>
      <c r="F944" s="25"/>
      <c r="G944" s="16"/>
      <c r="H944" s="16"/>
    </row>
    <row r="945" spans="1:8">
      <c r="A945" s="17"/>
      <c r="B945" s="17"/>
      <c r="C945" s="17"/>
      <c r="D945" s="17"/>
      <c r="E945" s="17"/>
      <c r="F945" s="25"/>
      <c r="G945" s="16"/>
      <c r="H945" s="16"/>
    </row>
    <row r="946" spans="1:8">
      <c r="A946" s="17"/>
      <c r="B946" s="17"/>
      <c r="C946" s="17"/>
      <c r="D946" s="17"/>
      <c r="E946" s="17"/>
      <c r="F946" s="25"/>
      <c r="G946" s="16"/>
      <c r="H946" s="16"/>
    </row>
    <row r="947" spans="1:8">
      <c r="A947" s="17"/>
      <c r="B947" s="17"/>
      <c r="C947" s="17"/>
      <c r="D947" s="17"/>
      <c r="E947" s="17"/>
      <c r="F947" s="25"/>
      <c r="G947" s="16"/>
      <c r="H947" s="16"/>
    </row>
    <row r="948" spans="1:8">
      <c r="A948" s="17"/>
      <c r="B948" s="17"/>
      <c r="C948" s="17"/>
      <c r="D948" s="17"/>
      <c r="E948" s="17"/>
      <c r="F948" s="25"/>
      <c r="G948" s="16"/>
      <c r="H948" s="16"/>
    </row>
    <row r="949" spans="1:8">
      <c r="A949" s="17"/>
      <c r="B949" s="17"/>
      <c r="C949" s="17"/>
      <c r="D949" s="17"/>
      <c r="E949" s="17"/>
      <c r="F949" s="25"/>
      <c r="G949" s="16"/>
      <c r="H949" s="16"/>
    </row>
    <row r="950" spans="1:8">
      <c r="A950" s="17"/>
      <c r="B950" s="17"/>
      <c r="C950" s="17"/>
      <c r="D950" s="17"/>
      <c r="E950" s="17"/>
      <c r="F950" s="25"/>
      <c r="G950" s="16"/>
      <c r="H950" s="16"/>
    </row>
    <row r="951" spans="1:8">
      <c r="A951" s="17"/>
      <c r="B951" s="17"/>
      <c r="C951" s="17"/>
      <c r="D951" s="17"/>
      <c r="E951" s="17"/>
      <c r="F951" s="25"/>
      <c r="G951" s="16"/>
      <c r="H951" s="16"/>
    </row>
    <row r="952" spans="1:8">
      <c r="A952" s="17"/>
      <c r="B952" s="17"/>
      <c r="C952" s="17"/>
      <c r="D952" s="17"/>
      <c r="E952" s="17"/>
      <c r="F952" s="25"/>
      <c r="G952" s="16"/>
      <c r="H952" s="16"/>
    </row>
    <row r="953" spans="1:8">
      <c r="A953" s="17"/>
      <c r="B953" s="17"/>
      <c r="C953" s="17"/>
      <c r="D953" s="17"/>
      <c r="E953" s="17"/>
      <c r="F953" s="25"/>
      <c r="G953" s="16"/>
      <c r="H953" s="16"/>
    </row>
    <row r="954" spans="1:8">
      <c r="A954" s="17"/>
      <c r="B954" s="17"/>
      <c r="C954" s="17"/>
      <c r="D954" s="17"/>
      <c r="E954" s="17"/>
      <c r="F954" s="25"/>
      <c r="G954" s="16"/>
      <c r="H954" s="16"/>
    </row>
    <row r="955" spans="1:8">
      <c r="A955" s="17"/>
      <c r="B955" s="17"/>
      <c r="C955" s="17"/>
      <c r="D955" s="17"/>
      <c r="E955" s="17"/>
      <c r="F955" s="25"/>
      <c r="G955" s="16"/>
      <c r="H955" s="16"/>
    </row>
    <row r="956" spans="1:8">
      <c r="A956" s="17"/>
      <c r="B956" s="17"/>
      <c r="C956" s="17"/>
      <c r="D956" s="17"/>
      <c r="E956" s="17"/>
      <c r="F956" s="25"/>
      <c r="G956" s="16"/>
      <c r="H956" s="16"/>
    </row>
    <row r="957" spans="1:8">
      <c r="A957" s="17"/>
      <c r="B957" s="17"/>
      <c r="C957" s="17"/>
      <c r="D957" s="17"/>
      <c r="E957" s="17"/>
      <c r="F957" s="25"/>
      <c r="G957" s="16"/>
      <c r="H957" s="16"/>
    </row>
    <row r="958" spans="1:8">
      <c r="A958" s="17"/>
      <c r="B958" s="17"/>
      <c r="C958" s="17"/>
      <c r="D958" s="17"/>
      <c r="E958" s="17"/>
      <c r="F958" s="25"/>
      <c r="G958" s="16"/>
      <c r="H958" s="16"/>
    </row>
    <row r="959" spans="1:8">
      <c r="A959" s="17"/>
      <c r="B959" s="17"/>
      <c r="C959" s="17"/>
      <c r="D959" s="17"/>
      <c r="E959" s="17"/>
      <c r="F959" s="25"/>
      <c r="G959" s="16"/>
      <c r="H959" s="16"/>
    </row>
    <row r="960" spans="1:8">
      <c r="A960" s="17"/>
      <c r="B960" s="17"/>
      <c r="C960" s="17"/>
      <c r="D960" s="17"/>
      <c r="E960" s="17"/>
      <c r="F960" s="25"/>
      <c r="G960" s="16"/>
      <c r="H960" s="16"/>
    </row>
    <row r="961" spans="1:8">
      <c r="A961" s="17"/>
      <c r="B961" s="17"/>
      <c r="C961" s="17"/>
      <c r="D961" s="17"/>
      <c r="E961" s="17"/>
      <c r="F961" s="25"/>
      <c r="G961" s="16"/>
      <c r="H961" s="16"/>
    </row>
    <row r="962" spans="1:8">
      <c r="A962" s="17"/>
      <c r="B962" s="17"/>
      <c r="C962" s="17"/>
      <c r="D962" s="17"/>
      <c r="E962" s="17"/>
      <c r="F962" s="25"/>
      <c r="G962" s="16"/>
      <c r="H962" s="16"/>
    </row>
    <row r="963" spans="1:8">
      <c r="A963" s="17"/>
      <c r="B963" s="17"/>
      <c r="C963" s="17"/>
      <c r="D963" s="17"/>
      <c r="E963" s="17"/>
      <c r="F963" s="25"/>
      <c r="G963" s="16"/>
      <c r="H963" s="16"/>
    </row>
    <row r="964" spans="1:8">
      <c r="A964" s="17"/>
      <c r="B964" s="17"/>
      <c r="C964" s="17"/>
      <c r="D964" s="17"/>
      <c r="E964" s="17"/>
      <c r="F964" s="25"/>
      <c r="G964" s="16"/>
      <c r="H964" s="16"/>
    </row>
    <row r="965" spans="1:8">
      <c r="A965" s="17"/>
      <c r="B965" s="17"/>
      <c r="C965" s="17"/>
      <c r="D965" s="17"/>
      <c r="E965" s="17"/>
      <c r="F965" s="25"/>
      <c r="G965" s="16"/>
      <c r="H965" s="16"/>
    </row>
    <row r="966" spans="1:8">
      <c r="A966" s="17"/>
      <c r="B966" s="17"/>
      <c r="C966" s="17"/>
      <c r="D966" s="17"/>
      <c r="E966" s="17"/>
      <c r="F966" s="25"/>
      <c r="G966" s="16"/>
      <c r="H966" s="16"/>
    </row>
  </sheetData>
  <autoFilter xmlns:etc="http://www.wps.cn/officeDocument/2017/etCustomData" ref="A1:H774" etc:filterBottomFollowUsedRange="0">
    <sortState ref="A1:H774">
      <sortCondition ref="F1:F774"/>
    </sortState>
    <extLst/>
  </autoFilter>
  <pageMargins left="0.511811024" right="0.511811024" top="0.787401575" bottom="0.787401575" header="0.31496062" footer="0.31496062"/>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8"/>
  <sheetViews>
    <sheetView workbookViewId="0">
      <selection activeCell="B16" sqref="B16"/>
    </sheetView>
  </sheetViews>
  <sheetFormatPr defaultColWidth="9" defaultRowHeight="15" outlineLevelCol="5"/>
  <cols>
    <col min="2" max="2" width="127" customWidth="1"/>
    <col min="3" max="3" width="12.2857142857143" customWidth="1"/>
    <col min="4" max="4" width="14.1428571428571" customWidth="1"/>
    <col min="5" max="5" width="33.2857142857143" customWidth="1"/>
    <col min="6" max="6" width="22.7142857142857" customWidth="1"/>
  </cols>
  <sheetData>
    <row r="1" spans="1:6">
      <c r="A1" s="1" t="s">
        <v>941</v>
      </c>
      <c r="B1" s="1" t="s">
        <v>942</v>
      </c>
      <c r="C1" s="1" t="s">
        <v>1355</v>
      </c>
      <c r="D1" s="1" t="s">
        <v>5</v>
      </c>
      <c r="E1" s="2" t="s">
        <v>9</v>
      </c>
      <c r="F1" s="2" t="s">
        <v>10</v>
      </c>
    </row>
    <row r="2" spans="1:6">
      <c r="A2" s="3" t="s">
        <v>69</v>
      </c>
      <c r="B2" s="3" t="s">
        <v>1037</v>
      </c>
      <c r="C2" s="3" t="s">
        <v>11</v>
      </c>
      <c r="D2" s="4" t="s">
        <v>1356</v>
      </c>
      <c r="E2" s="5" t="s">
        <v>1357</v>
      </c>
      <c r="F2" s="5" t="s">
        <v>791</v>
      </c>
    </row>
    <row r="3" spans="1:6">
      <c r="A3" s="3" t="s">
        <v>69</v>
      </c>
      <c r="B3" s="3" t="s">
        <v>1037</v>
      </c>
      <c r="C3" s="3" t="s">
        <v>11</v>
      </c>
      <c r="D3" s="4" t="s">
        <v>1358</v>
      </c>
      <c r="E3" s="5" t="s">
        <v>1357</v>
      </c>
      <c r="F3" s="5" t="s">
        <v>791</v>
      </c>
    </row>
    <row r="4" spans="1:6">
      <c r="A4" s="3" t="s">
        <v>16</v>
      </c>
      <c r="B4" s="3" t="s">
        <v>1359</v>
      </c>
      <c r="C4" s="3" t="s">
        <v>11</v>
      </c>
      <c r="D4" s="6"/>
      <c r="E4" s="7" t="s">
        <v>1360</v>
      </c>
      <c r="F4" s="5" t="s">
        <v>1361</v>
      </c>
    </row>
    <row r="5" spans="1:6">
      <c r="A5" s="3" t="s">
        <v>69</v>
      </c>
      <c r="B5" s="3" t="s">
        <v>1060</v>
      </c>
      <c r="C5" s="3" t="s">
        <v>11</v>
      </c>
      <c r="D5" s="4" t="s">
        <v>1362</v>
      </c>
      <c r="E5" s="5" t="s">
        <v>1360</v>
      </c>
      <c r="F5" s="5" t="s">
        <v>1363</v>
      </c>
    </row>
    <row r="6" spans="1:6">
      <c r="A6" s="3" t="s">
        <v>69</v>
      </c>
      <c r="B6" s="3" t="s">
        <v>1364</v>
      </c>
      <c r="C6" s="3" t="s">
        <v>11</v>
      </c>
      <c r="D6" s="4" t="s">
        <v>1365</v>
      </c>
      <c r="E6" s="5" t="s">
        <v>1366</v>
      </c>
      <c r="F6" s="5" t="s">
        <v>1367</v>
      </c>
    </row>
    <row r="7" spans="1:6">
      <c r="A7" s="3" t="s">
        <v>69</v>
      </c>
      <c r="B7" s="3" t="s">
        <v>1265</v>
      </c>
      <c r="C7" s="3" t="s">
        <v>11</v>
      </c>
      <c r="D7" s="4" t="s">
        <v>1368</v>
      </c>
      <c r="E7" s="5" t="s">
        <v>771</v>
      </c>
      <c r="F7" s="5" t="s">
        <v>1361</v>
      </c>
    </row>
    <row r="8" spans="1:6">
      <c r="A8" s="3" t="s">
        <v>69</v>
      </c>
      <c r="B8" s="3" t="s">
        <v>1265</v>
      </c>
      <c r="C8" s="3" t="s">
        <v>11</v>
      </c>
      <c r="D8" s="4" t="s">
        <v>1369</v>
      </c>
      <c r="E8" s="5" t="s">
        <v>771</v>
      </c>
      <c r="F8" s="5" t="s">
        <v>1361</v>
      </c>
    </row>
    <row r="9" spans="1:6">
      <c r="A9" s="3" t="s">
        <v>69</v>
      </c>
      <c r="B9" s="3" t="s">
        <v>1200</v>
      </c>
      <c r="C9" s="3" t="s">
        <v>11</v>
      </c>
      <c r="D9" s="4" t="s">
        <v>1370</v>
      </c>
      <c r="E9" s="5" t="s">
        <v>771</v>
      </c>
      <c r="F9" s="5" t="s">
        <v>1371</v>
      </c>
    </row>
    <row r="10" spans="1:6">
      <c r="A10" s="3" t="s">
        <v>69</v>
      </c>
      <c r="B10" s="3" t="s">
        <v>1372</v>
      </c>
      <c r="C10" s="3" t="s">
        <v>11</v>
      </c>
      <c r="D10" s="4" t="s">
        <v>1373</v>
      </c>
      <c r="E10" s="5" t="s">
        <v>771</v>
      </c>
      <c r="F10" s="5" t="s">
        <v>1371</v>
      </c>
    </row>
    <row r="11" spans="1:6">
      <c r="A11" s="3" t="s">
        <v>69</v>
      </c>
      <c r="B11" s="3" t="s">
        <v>1374</v>
      </c>
      <c r="C11" s="3" t="s">
        <v>11</v>
      </c>
      <c r="D11" s="4" t="s">
        <v>1375</v>
      </c>
      <c r="E11" s="5" t="s">
        <v>771</v>
      </c>
      <c r="F11" s="5" t="s">
        <v>1376</v>
      </c>
    </row>
    <row r="12" spans="1:6">
      <c r="A12" s="3" t="s">
        <v>69</v>
      </c>
      <c r="B12" s="3" t="s">
        <v>1372</v>
      </c>
      <c r="C12" s="3" t="s">
        <v>11</v>
      </c>
      <c r="D12" s="4" t="s">
        <v>1377</v>
      </c>
      <c r="E12" s="5" t="s">
        <v>771</v>
      </c>
      <c r="F12" s="5" t="s">
        <v>1376</v>
      </c>
    </row>
    <row r="13" spans="1:6">
      <c r="A13" s="3" t="s">
        <v>69</v>
      </c>
      <c r="B13" s="3" t="s">
        <v>1378</v>
      </c>
      <c r="C13" s="3" t="s">
        <v>11</v>
      </c>
      <c r="D13" s="4" t="s">
        <v>1379</v>
      </c>
      <c r="E13" s="5" t="s">
        <v>1380</v>
      </c>
      <c r="F13" s="5" t="s">
        <v>1367</v>
      </c>
    </row>
    <row r="14" spans="1:6">
      <c r="A14" s="3" t="s">
        <v>69</v>
      </c>
      <c r="B14" s="3" t="s">
        <v>1258</v>
      </c>
      <c r="C14" s="3" t="s">
        <v>11</v>
      </c>
      <c r="D14" s="4" t="s">
        <v>1381</v>
      </c>
      <c r="E14" s="5" t="s">
        <v>1382</v>
      </c>
      <c r="F14" s="5" t="s">
        <v>1361</v>
      </c>
    </row>
    <row r="15" spans="1:6">
      <c r="A15" s="3" t="s">
        <v>69</v>
      </c>
      <c r="B15" s="3" t="s">
        <v>1023</v>
      </c>
      <c r="C15" s="3" t="s">
        <v>11</v>
      </c>
      <c r="D15" s="4" t="s">
        <v>1383</v>
      </c>
      <c r="E15" s="5" t="s">
        <v>1384</v>
      </c>
      <c r="F15" s="5" t="s">
        <v>1367</v>
      </c>
    </row>
    <row r="16" spans="1:6">
      <c r="A16" s="3" t="s">
        <v>69</v>
      </c>
      <c r="B16" s="3" t="s">
        <v>1023</v>
      </c>
      <c r="C16" s="3" t="s">
        <v>11</v>
      </c>
      <c r="D16" s="4" t="s">
        <v>1385</v>
      </c>
      <c r="E16" s="5" t="s">
        <v>1384</v>
      </c>
      <c r="F16" s="5" t="s">
        <v>1367</v>
      </c>
    </row>
    <row r="17" spans="1:6">
      <c r="A17" s="3" t="s">
        <v>61</v>
      </c>
      <c r="B17" s="3" t="s">
        <v>1217</v>
      </c>
      <c r="C17" s="3" t="s">
        <v>11</v>
      </c>
      <c r="D17" s="4" t="s">
        <v>1386</v>
      </c>
      <c r="E17" s="5" t="s">
        <v>1387</v>
      </c>
      <c r="F17" s="5" t="s">
        <v>1361</v>
      </c>
    </row>
    <row r="18" spans="1:6">
      <c r="A18" s="3" t="s">
        <v>12</v>
      </c>
      <c r="B18" s="3" t="s">
        <v>1388</v>
      </c>
      <c r="C18" s="3" t="s">
        <v>11</v>
      </c>
      <c r="D18" s="4" t="s">
        <v>1389</v>
      </c>
      <c r="E18" s="5" t="s">
        <v>1387</v>
      </c>
      <c r="F18" s="5" t="s">
        <v>1361</v>
      </c>
    </row>
    <row r="19" spans="1:6">
      <c r="A19" s="3" t="s">
        <v>69</v>
      </c>
      <c r="B19" s="3" t="s">
        <v>1390</v>
      </c>
      <c r="C19" s="3" t="s">
        <v>11</v>
      </c>
      <c r="D19" s="4" t="s">
        <v>1391</v>
      </c>
      <c r="E19" s="5" t="s">
        <v>1392</v>
      </c>
      <c r="F19" s="5" t="s">
        <v>1361</v>
      </c>
    </row>
    <row r="20" spans="1:6">
      <c r="A20" s="3" t="s">
        <v>69</v>
      </c>
      <c r="B20" s="3" t="s">
        <v>996</v>
      </c>
      <c r="C20" s="3" t="s">
        <v>11</v>
      </c>
      <c r="D20" s="4" t="s">
        <v>1393</v>
      </c>
      <c r="E20" s="5" t="s">
        <v>1392</v>
      </c>
      <c r="F20" s="5" t="s">
        <v>771</v>
      </c>
    </row>
    <row r="21" spans="1:6">
      <c r="A21" s="3" t="s">
        <v>69</v>
      </c>
      <c r="B21" s="3" t="s">
        <v>1394</v>
      </c>
      <c r="C21" s="3" t="s">
        <v>11</v>
      </c>
      <c r="D21" s="4" t="s">
        <v>1395</v>
      </c>
      <c r="E21" s="5" t="s">
        <v>1392</v>
      </c>
      <c r="F21" s="5" t="s">
        <v>1361</v>
      </c>
    </row>
    <row r="22" spans="1:6">
      <c r="A22" s="3" t="s">
        <v>12</v>
      </c>
      <c r="B22" s="3" t="s">
        <v>1396</v>
      </c>
      <c r="C22" s="3" t="s">
        <v>11</v>
      </c>
      <c r="D22" s="4" t="s">
        <v>1397</v>
      </c>
      <c r="E22" s="5" t="s">
        <v>1398</v>
      </c>
      <c r="F22" s="5" t="s">
        <v>1399</v>
      </c>
    </row>
    <row r="23" spans="1:6">
      <c r="A23" s="3" t="s">
        <v>69</v>
      </c>
      <c r="B23" s="3" t="s">
        <v>1400</v>
      </c>
      <c r="C23" s="3" t="s">
        <v>11</v>
      </c>
      <c r="D23" s="4" t="s">
        <v>1401</v>
      </c>
      <c r="E23" s="5" t="s">
        <v>1402</v>
      </c>
      <c r="F23" s="5" t="s">
        <v>1367</v>
      </c>
    </row>
    <row r="24" spans="1:6">
      <c r="A24" s="3" t="s">
        <v>61</v>
      </c>
      <c r="B24" s="3" t="s">
        <v>1217</v>
      </c>
      <c r="C24" s="3" t="s">
        <v>11</v>
      </c>
      <c r="D24" s="4" t="s">
        <v>1403</v>
      </c>
      <c r="E24" s="5" t="s">
        <v>1404</v>
      </c>
      <c r="F24" s="5" t="s">
        <v>1405</v>
      </c>
    </row>
    <row r="25" spans="1:6">
      <c r="A25" s="3" t="s">
        <v>69</v>
      </c>
      <c r="B25" s="3" t="s">
        <v>1069</v>
      </c>
      <c r="C25" s="3" t="s">
        <v>11</v>
      </c>
      <c r="D25" s="4" t="s">
        <v>1406</v>
      </c>
      <c r="E25" s="5" t="s">
        <v>1407</v>
      </c>
      <c r="F25" s="5" t="s">
        <v>1363</v>
      </c>
    </row>
    <row r="26" spans="1:6">
      <c r="A26" s="3" t="s">
        <v>69</v>
      </c>
      <c r="B26" s="3" t="s">
        <v>1408</v>
      </c>
      <c r="C26" s="3" t="s">
        <v>11</v>
      </c>
      <c r="D26" s="4" t="s">
        <v>1409</v>
      </c>
      <c r="E26" s="5" t="s">
        <v>1410</v>
      </c>
      <c r="F26" s="5" t="s">
        <v>1363</v>
      </c>
    </row>
    <row r="27" spans="1:6">
      <c r="A27" s="3" t="s">
        <v>69</v>
      </c>
      <c r="B27" s="3" t="s">
        <v>1001</v>
      </c>
      <c r="C27" s="3" t="s">
        <v>11</v>
      </c>
      <c r="D27" s="4" t="s">
        <v>1411</v>
      </c>
      <c r="E27" s="5" t="s">
        <v>1412</v>
      </c>
      <c r="F27" s="5" t="s">
        <v>1363</v>
      </c>
    </row>
    <row r="28" spans="1:6">
      <c r="A28" s="3" t="s">
        <v>69</v>
      </c>
      <c r="B28" s="3" t="s">
        <v>1047</v>
      </c>
      <c r="C28" s="3" t="s">
        <v>11</v>
      </c>
      <c r="D28" s="4" t="s">
        <v>1413</v>
      </c>
      <c r="E28" s="5" t="s">
        <v>1412</v>
      </c>
      <c r="F28" s="5" t="s">
        <v>1363</v>
      </c>
    </row>
    <row r="29" spans="1:6">
      <c r="A29" s="3" t="s">
        <v>69</v>
      </c>
      <c r="B29" s="8" t="s">
        <v>1414</v>
      </c>
      <c r="C29" s="3" t="s">
        <v>11</v>
      </c>
      <c r="D29" s="4" t="s">
        <v>1415</v>
      </c>
      <c r="E29" s="5" t="s">
        <v>1416</v>
      </c>
      <c r="F29" s="5" t="s">
        <v>1361</v>
      </c>
    </row>
    <row r="30" spans="1:6">
      <c r="A30" s="3" t="s">
        <v>69</v>
      </c>
      <c r="B30" s="3" t="s">
        <v>1417</v>
      </c>
      <c r="C30" s="3" t="s">
        <v>11</v>
      </c>
      <c r="D30" s="4" t="s">
        <v>1418</v>
      </c>
      <c r="E30" s="5" t="s">
        <v>1419</v>
      </c>
      <c r="F30" s="5" t="s">
        <v>794</v>
      </c>
    </row>
    <row r="31" spans="1:6">
      <c r="A31" s="3" t="s">
        <v>61</v>
      </c>
      <c r="B31" s="3" t="s">
        <v>1217</v>
      </c>
      <c r="C31" s="3" t="s">
        <v>11</v>
      </c>
      <c r="D31" s="4" t="s">
        <v>1420</v>
      </c>
      <c r="E31" s="5" t="s">
        <v>1421</v>
      </c>
      <c r="F31" s="5" t="s">
        <v>1422</v>
      </c>
    </row>
    <row r="32" spans="1:6">
      <c r="A32" s="3" t="s">
        <v>69</v>
      </c>
      <c r="B32" s="3" t="s">
        <v>1423</v>
      </c>
      <c r="C32" s="3" t="s">
        <v>11</v>
      </c>
      <c r="D32" s="4" t="s">
        <v>1424</v>
      </c>
      <c r="E32" s="5" t="s">
        <v>1425</v>
      </c>
      <c r="F32" s="5" t="s">
        <v>1367</v>
      </c>
    </row>
    <row r="33" spans="1:6">
      <c r="A33" s="3" t="s">
        <v>69</v>
      </c>
      <c r="B33" s="3" t="s">
        <v>1426</v>
      </c>
      <c r="C33" s="3" t="s">
        <v>11</v>
      </c>
      <c r="D33" s="4" t="s">
        <v>1427</v>
      </c>
      <c r="E33" s="5" t="s">
        <v>1428</v>
      </c>
      <c r="F33" s="5" t="s">
        <v>1361</v>
      </c>
    </row>
    <row r="34" spans="1:6">
      <c r="A34" s="3" t="s">
        <v>69</v>
      </c>
      <c r="B34" s="3" t="s">
        <v>1000</v>
      </c>
      <c r="C34" s="3" t="s">
        <v>11</v>
      </c>
      <c r="D34" s="4" t="s">
        <v>1429</v>
      </c>
      <c r="E34" s="5" t="s">
        <v>1430</v>
      </c>
      <c r="F34" s="5" t="s">
        <v>1363</v>
      </c>
    </row>
    <row r="35" spans="1:6">
      <c r="A35" s="3" t="s">
        <v>69</v>
      </c>
      <c r="B35" s="8" t="s">
        <v>979</v>
      </c>
      <c r="C35" s="3" t="s">
        <v>11</v>
      </c>
      <c r="D35" s="4" t="s">
        <v>1431</v>
      </c>
      <c r="E35" s="9" t="s">
        <v>1432</v>
      </c>
      <c r="F35" s="9" t="s">
        <v>1433</v>
      </c>
    </row>
    <row r="36" spans="1:6">
      <c r="A36" s="3" t="s">
        <v>69</v>
      </c>
      <c r="B36" s="3" t="s">
        <v>1434</v>
      </c>
      <c r="C36" s="3" t="s">
        <v>11</v>
      </c>
      <c r="D36" s="4" t="s">
        <v>1435</v>
      </c>
      <c r="E36" s="5" t="s">
        <v>1436</v>
      </c>
      <c r="F36" s="5" t="s">
        <v>794</v>
      </c>
    </row>
    <row r="37" spans="1:6">
      <c r="A37" s="3" t="s">
        <v>16</v>
      </c>
      <c r="B37" s="3" t="s">
        <v>1437</v>
      </c>
      <c r="C37" s="3" t="s">
        <v>11</v>
      </c>
      <c r="D37" s="6"/>
      <c r="E37" s="5" t="s">
        <v>1438</v>
      </c>
      <c r="F37" s="5" t="s">
        <v>1363</v>
      </c>
    </row>
    <row r="38" spans="1:6">
      <c r="A38" s="3" t="s">
        <v>12</v>
      </c>
      <c r="B38" s="3" t="s">
        <v>1439</v>
      </c>
      <c r="C38" s="3" t="s">
        <v>11</v>
      </c>
      <c r="D38" s="10">
        <v>0</v>
      </c>
      <c r="E38" s="5" t="s">
        <v>1440</v>
      </c>
      <c r="F38" s="5" t="s">
        <v>794</v>
      </c>
    </row>
    <row r="39" spans="1:6">
      <c r="A39" s="3" t="s">
        <v>69</v>
      </c>
      <c r="B39" s="3" t="s">
        <v>1140</v>
      </c>
      <c r="C39" s="3" t="s">
        <v>11</v>
      </c>
      <c r="D39" s="4" t="s">
        <v>1441</v>
      </c>
      <c r="E39" s="5" t="s">
        <v>1442</v>
      </c>
      <c r="F39" s="5" t="s">
        <v>1363</v>
      </c>
    </row>
    <row r="40" spans="1:6">
      <c r="A40" s="3" t="s">
        <v>12</v>
      </c>
      <c r="B40" s="3" t="s">
        <v>1443</v>
      </c>
      <c r="C40" s="3" t="s">
        <v>11</v>
      </c>
      <c r="D40" s="4" t="s">
        <v>1444</v>
      </c>
      <c r="E40" s="5" t="s">
        <v>1445</v>
      </c>
      <c r="F40" s="5" t="s">
        <v>712</v>
      </c>
    </row>
    <row r="41" spans="1:6">
      <c r="A41" s="3" t="s">
        <v>12</v>
      </c>
      <c r="B41" s="3" t="s">
        <v>1446</v>
      </c>
      <c r="C41" s="3" t="s">
        <v>11</v>
      </c>
      <c r="D41" s="10">
        <v>0</v>
      </c>
      <c r="E41" s="5" t="s">
        <v>1447</v>
      </c>
      <c r="F41" s="5" t="s">
        <v>712</v>
      </c>
    </row>
    <row r="42" spans="1:6">
      <c r="A42" s="3" t="s">
        <v>69</v>
      </c>
      <c r="B42" s="3" t="s">
        <v>1041</v>
      </c>
      <c r="C42" s="3" t="s">
        <v>11</v>
      </c>
      <c r="D42" s="4" t="s">
        <v>1448</v>
      </c>
      <c r="E42" s="5" t="s">
        <v>1449</v>
      </c>
      <c r="F42" s="5" t="s">
        <v>1361</v>
      </c>
    </row>
    <row r="43" spans="1:6">
      <c r="A43" s="3" t="s">
        <v>12</v>
      </c>
      <c r="B43" s="3" t="s">
        <v>1450</v>
      </c>
      <c r="C43" s="3" t="s">
        <v>11</v>
      </c>
      <c r="D43" s="4" t="s">
        <v>1451</v>
      </c>
      <c r="E43" s="5" t="s">
        <v>1452</v>
      </c>
      <c r="F43" s="5" t="s">
        <v>1453</v>
      </c>
    </row>
    <row r="44" spans="1:6">
      <c r="A44" s="3" t="s">
        <v>69</v>
      </c>
      <c r="B44" s="3" t="s">
        <v>1068</v>
      </c>
      <c r="C44" s="3" t="s">
        <v>11</v>
      </c>
      <c r="D44" s="4" t="s">
        <v>1454</v>
      </c>
      <c r="E44" s="5" t="s">
        <v>1455</v>
      </c>
      <c r="F44" s="5" t="s">
        <v>1361</v>
      </c>
    </row>
    <row r="45" spans="1:6">
      <c r="A45" s="3" t="s">
        <v>61</v>
      </c>
      <c r="B45" s="3" t="s">
        <v>1217</v>
      </c>
      <c r="C45" s="3" t="s">
        <v>11</v>
      </c>
      <c r="D45" s="4" t="s">
        <v>1456</v>
      </c>
      <c r="E45" s="5" t="s">
        <v>1457</v>
      </c>
      <c r="F45" s="5" t="s">
        <v>1458</v>
      </c>
    </row>
    <row r="46" spans="1:6">
      <c r="A46" s="3" t="s">
        <v>16</v>
      </c>
      <c r="B46" s="3" t="s">
        <v>1459</v>
      </c>
      <c r="C46" s="3" t="s">
        <v>11</v>
      </c>
      <c r="D46" s="6"/>
      <c r="E46" s="11" t="s">
        <v>1460</v>
      </c>
      <c r="F46" s="5" t="s">
        <v>794</v>
      </c>
    </row>
    <row r="47" spans="1:6">
      <c r="A47" s="3" t="s">
        <v>61</v>
      </c>
      <c r="B47" s="3" t="s">
        <v>1217</v>
      </c>
      <c r="C47" s="3" t="s">
        <v>11</v>
      </c>
      <c r="D47" s="4" t="s">
        <v>1461</v>
      </c>
      <c r="E47" s="5" t="s">
        <v>1462</v>
      </c>
      <c r="F47" s="5" t="s">
        <v>1463</v>
      </c>
    </row>
    <row r="48" spans="1:6">
      <c r="A48" s="3" t="s">
        <v>61</v>
      </c>
      <c r="B48" s="3" t="s">
        <v>1217</v>
      </c>
      <c r="C48" s="3" t="s">
        <v>11</v>
      </c>
      <c r="D48" s="4" t="s">
        <v>1464</v>
      </c>
      <c r="E48" s="5" t="s">
        <v>1465</v>
      </c>
      <c r="F48" s="5" t="s">
        <v>1361</v>
      </c>
    </row>
  </sheetData>
  <autoFilter xmlns:etc="http://www.wps.cn/officeDocument/2017/etCustomData" ref="A1:F48" etc:filterBottomFollowUsedRange="0">
    <sortState ref="A1:F48">
      <sortCondition ref="E1:E48"/>
    </sortState>
    <extLst/>
  </autoFilter>
  <pageMargins left="0.511811024" right="0.511811024" top="0.787401575" bottom="0.787401575" header="0.31496062" footer="0.31496062"/>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concluídas - SIMO</vt:lpstr>
      <vt:lpstr>Execução - SIMO</vt:lpstr>
      <vt:lpstr>Convênio</vt:lpstr>
      <vt:lpstr>TD - Concluído</vt:lpstr>
      <vt:lpstr>TD - Execução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Parceiros Seplan</dc:creator>
  <cp:lastModifiedBy>tom.morais</cp:lastModifiedBy>
  <dcterms:created xsi:type="dcterms:W3CDTF">2026-05-06T14:13:00Z</dcterms:created>
  <dcterms:modified xsi:type="dcterms:W3CDTF">2026-05-18T16:04:11Z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23BCEA9EDB47435091F8613E5B2FAF81_12</vt:lpwstr>
  </property>
  <property fmtid="{D5CDD505-2E9C-101B-9397-08002B2CF9AE}" pid="3" name="KSOProductBuildVer">
    <vt:lpwstr>1046-12.1.0.26372</vt:lpwstr>
  </property>
  <property fmtid="{D5CDD505-2E9C-101B-9397-08002B2CF9AE}" pid="4" name="CalculationRule">
    <vt:i4>0</vt:i4>
  </property>
</Properties>
</file>